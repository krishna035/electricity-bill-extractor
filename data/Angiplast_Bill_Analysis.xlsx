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giplast" sheetId="1" r:id="rId4"/>
    <sheet state="visible" name="Sheet2" sheetId="2" r:id="rId5"/>
    <sheet state="visible" name="Sheet1" sheetId="3" r:id="rId6"/>
  </sheets>
  <definedNames/>
  <calcPr/>
  <extLst>
    <ext uri="GoogleSheetsCustomDataVersion2">
      <go:sheetsCustomData xmlns:go="http://customooxmlschemas.google.com/" r:id="rId7" roundtripDataChecksum="jZ4R0ubLMlfW2GEXQHJhUtGlXoxONjiRx6dfcGT2GQ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3">
      <text>
        <t xml:space="preserve">======
ID#AAAB9FchQ98
Kawan Patel    (2026-06-10 11:53:05)
Set off units are a summation of April and Feb 2025 Set off units as mentioned in the bill</t>
      </text>
    </comment>
    <comment authorId="0" ref="AH1">
      <text>
        <t xml:space="preserve">======
ID#AAAB5q5P7As
Kawan Patel    (2026-05-05 12:50:39)
this column was not extracted</t>
      </text>
    </comment>
    <comment authorId="0" ref="AZ2">
      <text>
        <t xml:space="preserve">======
ID#AAAB5q5P7A0
Kawan Patel    (2026-05-05 12:55:38)
in this case TCS already accounted in adv adjustment</t>
      </text>
    </comment>
    <comment authorId="0" ref="AG60">
      <text>
        <t xml:space="preserve">======
ID#AAAB9sjAuVU
Kawan Patel    (2026-06-16 05:54:31)
@savlipalande67@gmail.com change the benchmark to 0.99 for Power factor trend
_Assigned to savlipalande67@gmail.com_
------
ID#AAAB9ums3F0
Kawan Patel    (2026-06-17 11:44:58)
@savlipalande67@gmail.com please keep the grid lines at an interval of 0.01 and the benchmark at 0.99</t>
      </text>
    </comment>
    <comment authorId="0" ref="AL1">
      <text>
        <t xml:space="preserve">======
ID#AAAB50auKDI
Kawan Patel    (2026-05-05 18:30:43)
from the bills</t>
      </text>
    </comment>
    <comment authorId="0" ref="BD1">
      <text>
        <t xml:space="preserve">======
ID#AAAB9ums3Fw
Kawan Patel    (2026-06-17 11:42:56)
Please see that all the columns of unit rate should be formula derived and not copy pasted. @savlipalande67@gmail.com
_Assigned to savlipalande67@gmail.com_</t>
      </text>
    </comment>
    <comment authorId="0" ref="U12">
      <text>
        <t xml:space="preserve">======
ID#AAAB5q5P7Ac
Kawan Patel    (2026-05-05 12:39:17)
in the bill it is mentioned that Solar SPU instead of Solar Surplus</t>
      </text>
    </comment>
    <comment authorId="0" ref="AW7">
      <text>
        <t xml:space="preserve">======
ID#AAAB50auKDQ
Kawan Patel    (2026-05-05 18:31:42)
fuel surcharge rebates from previous months</t>
      </text>
    </comment>
    <comment authorId="0" ref="A3">
      <text>
        <t xml:space="preserve">======
ID#AAAB50auKDE
Kawan Patel    (2026-05-05 17:51:25)
Solar related adjustments are considered for feb and april 2025</t>
      </text>
    </comment>
  </commentList>
  <extLst>
    <ext uri="GoogleSheetsCustomDataVersion2">
      <go:sheetsCustomData xmlns:go="http://customooxmlschemas.google.com/" r:id="rId1" roundtripDataSignature="AMtx7mjmhhSDEaxzXzIbzoutdApWr7HLNw=="/>
    </ext>
  </extLst>
</comments>
</file>

<file path=xl/sharedStrings.xml><?xml version="1.0" encoding="utf-8"?>
<sst xmlns="http://schemas.openxmlformats.org/spreadsheetml/2006/main" count="226" uniqueCount="96">
  <si>
    <t>Billing Month</t>
  </si>
  <si>
    <t>kWh (Units) Consumed</t>
  </si>
  <si>
    <t>Solar Gen Units</t>
  </si>
  <si>
    <t>Net Consumption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</si>
  <si>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</si>
  <si>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</si>
  <si>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</si>
  <si>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</si>
  <si>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</si>
  <si>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</si>
  <si>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</si>
  <si>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</si>
  <si>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</si>
  <si>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</si>
  <si>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</si>
  <si>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</si>
  <si>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Energy Charges (Rs)</t>
  </si>
  <si>
    <t>Fuel Surcharge</t>
  </si>
  <si>
    <t>Unit Rate (Total Consumption Charge)</t>
  </si>
  <si>
    <t>Unit Rate (Total Payable)</t>
  </si>
  <si>
    <t>Meter No.</t>
  </si>
  <si>
    <t>Customer ID</t>
  </si>
  <si>
    <t>Tarrif Category</t>
  </si>
  <si>
    <t>Contract Demand</t>
  </si>
  <si>
    <t>Actual Max demand</t>
  </si>
  <si>
    <t>Billing Demand</t>
  </si>
  <si>
    <t>Avg PF %</t>
  </si>
  <si>
    <t>% Increase in kWh</t>
  </si>
  <si>
    <t>Night Hr. Units</t>
  </si>
  <si>
    <t>% of Total units</t>
  </si>
  <si>
    <t>TOU kWh</t>
  </si>
  <si>
    <t>1/3 of Total Units</t>
  </si>
  <si>
    <t>E. Night Concession Units</t>
  </si>
  <si>
    <t>Solar Net Billed Units</t>
  </si>
  <si>
    <t>Solar Setoff Units</t>
  </si>
  <si>
    <t>Solar Set-off units %</t>
  </si>
  <si>
    <t>Solar Surplus/Export Units</t>
  </si>
  <si>
    <t>Solar Surplus %</t>
  </si>
  <si>
    <t>Solar Gen. Units considered for banking charges</t>
  </si>
  <si>
    <t>Solar Banking Units %</t>
  </si>
  <si>
    <t>Demand Charges</t>
  </si>
  <si>
    <t>Demand Charges %</t>
  </si>
  <si>
    <t>Excess Demand Charges</t>
  </si>
  <si>
    <t>Energy Charges %</t>
  </si>
  <si>
    <t>Fuel Surcharge %</t>
  </si>
  <si>
    <t>PF Adjust. (Rs)</t>
  </si>
  <si>
    <t>Night Rebate</t>
  </si>
  <si>
    <t>EHV Rebate</t>
  </si>
  <si>
    <t>TOU Charges</t>
  </si>
  <si>
    <t>TOU Charges %</t>
  </si>
  <si>
    <t>Total Energy/Consumption Charges</t>
  </si>
  <si>
    <t>Total Consumption Charges</t>
  </si>
  <si>
    <t>Electricity Duty</t>
  </si>
  <si>
    <t>Current bill Month</t>
  </si>
  <si>
    <t>Solar Banking (Rs1.1/kWh)</t>
  </si>
  <si>
    <t>Solar Credit (Rs.2.25/kWh) (Rs)</t>
  </si>
  <si>
    <t>Solar Set off Credit</t>
  </si>
  <si>
    <t>Wheeling charges</t>
  </si>
  <si>
    <t>Previous Dues</t>
  </si>
  <si>
    <t>Delayed Payment Charges</t>
  </si>
  <si>
    <t>Adv Payment/ Adjustment</t>
  </si>
  <si>
    <t>Formula Adv Adjustment</t>
  </si>
  <si>
    <t>Other Credits</t>
  </si>
  <si>
    <t>Outstanding Arrears</t>
  </si>
  <si>
    <t>Net Payable</t>
  </si>
  <si>
    <t>TCS</t>
  </si>
  <si>
    <t>Security Deposit Interest</t>
  </si>
  <si>
    <t>Total Payable (Rs)</t>
  </si>
  <si>
    <t xml:space="preserve">Total Consumption-Demand Charge Unit Rate
</t>
  </si>
  <si>
    <t>Total Net Payable – Demand Charge Unit Rate</t>
  </si>
  <si>
    <t>GHBD1806</t>
  </si>
  <si>
    <t>65500</t>
  </si>
  <si>
    <t>HTP-I</t>
  </si>
  <si>
    <t>Off peak</t>
  </si>
  <si>
    <t>Total Daytime Consumption</t>
  </si>
  <si>
    <t>Avg. Daytime Consumption</t>
  </si>
  <si>
    <t>Period</t>
  </si>
  <si>
    <t>Units</t>
  </si>
  <si>
    <t>Tariff</t>
  </si>
  <si>
    <t>Cost</t>
  </si>
  <si>
    <t>% of total energy cost</t>
  </si>
  <si>
    <t>Peak</t>
  </si>
  <si>
    <t>Off Peak</t>
  </si>
  <si>
    <t>Night</t>
  </si>
  <si>
    <t>Charges</t>
  </si>
  <si>
    <t>Annual Cost</t>
  </si>
  <si>
    <t>% of Total payable</t>
  </si>
  <si>
    <t>Energy Charges</t>
  </si>
  <si>
    <t>Monthly Net Payable &amp; Consumption</t>
  </si>
  <si>
    <t>Solar Banking Charge</t>
  </si>
  <si>
    <t>Monthly Solar Generation vs. Consumption</t>
  </si>
  <si>
    <t>Unit Rate Comparison</t>
  </si>
  <si>
    <t>Total Consumption-Demand Charge Unit Rate</t>
  </si>
  <si>
    <t>Power Factor Trend</t>
  </si>
  <si>
    <t>Benchmark</t>
  </si>
  <si>
    <t>Lower Limit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</si>
</sst>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16">
    <font>
      <sz val="11.0"/>
      <color theme="1"/>
      <name val="Calibri"/>
      <scheme val="minor"/>
    </font>
    <font>
      <b/>
      <color rgb="FFFFFFFF"/>
      <name val="Calibri"/>
    </font>
    <font>
      <color theme="1"/>
      <name val="Calibri"/>
      <scheme val="minor"/>
    </font>
    <font>
      <b/>
      <color theme="1"/>
      <name val="Calibri"/>
    </font>
    <font>
      <sz val="11.0"/>
      <color theme="1"/>
      <name val="Calibri"/>
    </font>
    <font>
      <b/>
      <sz val="10.0"/>
      <color rgb="FFFFFFFF"/>
      <name val="Calibri"/>
      <scheme val="minor"/>
    </font>
    <font>
      <b/>
      <sz val="10.0"/>
      <color rgb="FF000000"/>
      <name val="Calibri"/>
      <scheme val="minor"/>
    </font>
    <font>
      <b/>
      <i/>
      <color rgb="FFFF9900"/>
      <name val="Calibri"/>
      <scheme val="minor"/>
    </font>
    <font>
      <b/>
      <color rgb="FFFF9900"/>
      <name val="Calibri"/>
      <scheme val="minor"/>
    </font>
    <font>
      <b/>
      <color theme="9"/>
      <name val="Calibri"/>
      <scheme val="minor"/>
    </font>
    <font>
      <b/>
      <color theme="1"/>
      <name val="Calibri"/>
      <scheme val="minor"/>
    </font>
    <font>
      <b/>
      <sz val="9.0"/>
      <color theme="1"/>
      <name val="Poppins"/>
    </font>
    <font>
      <b/>
      <sz val="8.0"/>
      <color theme="1"/>
      <name val="Poppins"/>
    </font>
    <font>
      <sz val="9.0"/>
      <color theme="1"/>
      <name val="Poppins"/>
    </font>
    <font>
      <sz val="8.0"/>
      <color theme="1"/>
      <name val="Poppins"/>
    </font>
    <font>
      <b/>
      <sz val="11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6AA84F"/>
        <bgColor rgb="FF6AA84F"/>
      </patternFill>
    </fill>
    <fill>
      <patternFill patternType="solid">
        <fgColor rgb="FFC27BA0"/>
        <bgColor rgb="FFC27BA0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ill="1" applyFont="1">
      <alignment horizontal="center" shrinkToFit="0" wrapText="1"/>
    </xf>
    <xf borderId="0" fillId="0" fontId="2" numFmtId="0" xfId="0" applyFont="1"/>
    <xf borderId="1" fillId="4" fontId="3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2" numFmtId="4" xfId="0" applyFont="1" applyNumberFormat="1"/>
    <xf borderId="1" fillId="5" fontId="1" numFmtId="0" xfId="0" applyAlignment="1" applyBorder="1" applyFill="1" applyFont="1">
      <alignment horizontal="center" shrinkToFit="0" wrapText="1"/>
    </xf>
    <xf borderId="0" fillId="0" fontId="2" numFmtId="164" xfId="0" applyFont="1" applyNumberFormat="1"/>
    <xf borderId="1" fillId="4" fontId="1" numFmtId="0" xfId="0" applyAlignment="1" applyBorder="1" applyFont="1">
      <alignment horizontal="center" readingOrder="0" shrinkToFit="0" wrapText="1"/>
    </xf>
    <xf borderId="0" fillId="0" fontId="4" numFmtId="164" xfId="0" applyAlignment="1" applyFont="1" applyNumberFormat="1">
      <alignment horizontal="right" vertical="bottom"/>
    </xf>
    <xf borderId="1" fillId="2" fontId="5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readingOrder="0" shrinkToFit="0" vertical="center" wrapText="1"/>
    </xf>
    <xf borderId="1" fillId="6" fontId="6" numFmtId="0" xfId="0" applyAlignment="1" applyBorder="1" applyFont="1">
      <alignment horizontal="center" shrinkToFit="0" vertical="center" wrapText="1"/>
    </xf>
    <xf borderId="1" fillId="5" fontId="5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ont="1">
      <alignment horizontal="center" shrinkToFit="0" vertical="center" wrapText="1"/>
    </xf>
    <xf borderId="0" fillId="0" fontId="2" numFmtId="0" xfId="0" applyFont="1"/>
    <xf borderId="0" fillId="0" fontId="2" numFmtId="10" xfId="0" applyAlignment="1" applyFont="1" applyNumberFormat="1">
      <alignment readingOrder="0"/>
    </xf>
    <xf borderId="0" fillId="0" fontId="2" numFmtId="10" xfId="0" applyFont="1" applyNumberFormat="1"/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7" fontId="7" numFmtId="0" xfId="0" applyFill="1" applyFont="1"/>
    <xf borderId="0" fillId="0" fontId="8" numFmtId="0" xfId="0" applyFont="1"/>
    <xf borderId="0" fillId="0" fontId="8" numFmtId="10" xfId="0" applyAlignment="1" applyFont="1" applyNumberFormat="1">
      <alignment readingOrder="0"/>
    </xf>
    <xf borderId="0" fillId="0" fontId="8" numFmtId="10" xfId="0" applyFont="1" applyNumberFormat="1"/>
    <xf borderId="0" fillId="0" fontId="9" numFmtId="1" xfId="0" applyFont="1" applyNumberFormat="1"/>
    <xf borderId="0" fillId="0" fontId="10" numFmtId="164" xfId="0" applyFont="1" applyNumberFormat="1"/>
    <xf borderId="0" fillId="0" fontId="10" numFmtId="0" xfId="0" applyFont="1"/>
    <xf borderId="0" fillId="7" fontId="9" numFmtId="0" xfId="0" applyFont="1"/>
    <xf borderId="0" fillId="7" fontId="9" numFmtId="164" xfId="0" applyFont="1" applyNumberFormat="1"/>
    <xf borderId="0" fillId="0" fontId="10" numFmtId="4" xfId="0" applyFont="1" applyNumberFormat="1"/>
    <xf borderId="0" fillId="0" fontId="9" numFmtId="4" xfId="0" applyFont="1" applyNumberFormat="1"/>
    <xf borderId="2" fillId="0" fontId="11" numFmtId="0" xfId="0" applyAlignment="1" applyBorder="1" applyFont="1">
      <alignment shrinkToFit="0" vertical="bottom" wrapText="1"/>
    </xf>
    <xf borderId="2" fillId="0" fontId="11" numFmtId="0" xfId="0" applyAlignment="1" applyBorder="1" applyFont="1">
      <alignment shrinkToFit="0" vertical="bottom" wrapText="1"/>
    </xf>
    <xf borderId="2" fillId="0" fontId="12" numFmtId="0" xfId="0" applyAlignment="1" applyBorder="1" applyFont="1">
      <alignment shrinkToFit="0" vertical="bottom" wrapText="1"/>
    </xf>
    <xf borderId="2" fillId="0" fontId="13" numFmtId="0" xfId="0" applyAlignment="1" applyBorder="1" applyFont="1">
      <alignment shrinkToFit="0" vertical="bottom" wrapText="1"/>
    </xf>
    <xf borderId="2" fillId="0" fontId="13" numFmtId="3" xfId="0" applyAlignment="1" applyBorder="1" applyFont="1" applyNumberFormat="1">
      <alignment shrinkToFit="0" vertical="bottom" wrapText="1"/>
    </xf>
    <xf borderId="2" fillId="0" fontId="14" numFmtId="10" xfId="0" applyAlignment="1" applyBorder="1" applyFont="1" applyNumberFormat="1">
      <alignment horizontal="right" vertical="bottom"/>
    </xf>
    <xf borderId="3" fillId="0" fontId="10" numFmtId="0" xfId="0" applyAlignment="1" applyBorder="1" applyFont="1">
      <alignment horizontal="right" readingOrder="0"/>
    </xf>
    <xf borderId="2" fillId="0" fontId="10" numFmtId="0" xfId="0" applyAlignment="1" applyBorder="1" applyFont="1">
      <alignment readingOrder="0"/>
    </xf>
    <xf borderId="2" fillId="0" fontId="15" numFmtId="0" xfId="0" applyAlignment="1" applyBorder="1" applyFont="1">
      <alignment readingOrder="0" shrinkToFit="0" wrapText="0"/>
    </xf>
    <xf borderId="3" fillId="0" fontId="2" numFmtId="0" xfId="0" applyAlignment="1" applyBorder="1" applyFont="1">
      <alignment horizontal="right" readingOrder="0"/>
    </xf>
    <xf borderId="2" fillId="0" fontId="2" numFmtId="164" xfId="0" applyBorder="1" applyFont="1" applyNumberFormat="1"/>
    <xf borderId="2" fillId="0" fontId="2" numFmtId="10" xfId="0" applyBorder="1" applyFont="1" applyNumberFormat="1"/>
    <xf borderId="1" fillId="5" fontId="1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Tahoma"/>
              </a:defRPr>
            </a:pPr>
            <a:r>
              <a:rPr b="1" sz="1600">
                <a:solidFill>
                  <a:srgbClr val="000000"/>
                </a:solidFill>
                <a:latin typeface="Tahoma"/>
              </a:rPr>
              <a:t>Monthly Actual Max Demand 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Angiplast!$F$1</c:f>
            </c:strRef>
          </c:tx>
          <c:spPr>
            <a:ln cmpd="sng">
              <a:solidFill>
                <a:srgbClr val="6D9EEB">
                  <a:alpha val="100000"/>
                </a:srgbClr>
              </a:solidFill>
              <a:prstDash val="solid"/>
            </a:ln>
          </c:spPr>
          <c:marker>
            <c:symbol val="none"/>
          </c:marker>
          <c:dPt>
            <c:idx val="2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Angiplast!$A$2:$A$13</c:f>
            </c:strRef>
          </c:cat>
          <c:val>
            <c:numRef>
              <c:f>Angiplast!$F$2:$F$13</c:f>
              <c:numCache/>
            </c:numRef>
          </c:val>
          <c:smooth val="1"/>
        </c:ser>
        <c:ser>
          <c:idx val="1"/>
          <c:order val="1"/>
          <c:tx>
            <c:strRef>
              <c:f>Angiplast!$G$1</c:f>
            </c:strRef>
          </c:tx>
          <c:spPr>
            <a:ln cmpd="sng">
              <a:solidFill>
                <a:srgbClr val="FF9900">
                  <a:alpha val="100000"/>
                </a:srgbClr>
              </a:solidFill>
              <a:prstDash val="sysDot"/>
            </a:ln>
          </c:spPr>
          <c:marker>
            <c:symbol val="none"/>
          </c:marker>
          <c:dPt>
            <c:idx val="2"/>
            <c:marker>
              <c:symbol val="diamond"/>
              <c:size val="7"/>
              <c:spPr>
                <a:solidFill>
                  <a:schemeClr val="accent2"/>
                </a:solidFill>
                <a:ln cmpd="sng">
                  <a:solidFill>
                    <a:schemeClr val="accent2"/>
                  </a:solidFill>
                </a:ln>
              </c:spPr>
            </c:marker>
          </c:dPt>
          <c:cat>
            <c:strRef>
              <c:f>Angiplast!$A$2:$A$13</c:f>
            </c:strRef>
          </c:cat>
          <c:val>
            <c:numRef>
              <c:f>Angiplast!$G$2:$G$13</c:f>
              <c:numCache/>
            </c:numRef>
          </c:val>
          <c:smooth val="1"/>
        </c:ser>
        <c:ser>
          <c:idx val="2"/>
          <c:order val="2"/>
          <c:tx>
            <c:strRef>
              <c:f>Angiplast!$E$1</c:f>
            </c:strRef>
          </c:tx>
          <c:spPr>
            <a:ln cmpd="sng">
              <a:solidFill>
                <a:srgbClr val="CC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Angiplast!$A$2:$A$13</c:f>
            </c:strRef>
          </c:cat>
          <c:val>
            <c:numRef>
              <c:f>Angiplast!$E$2:$E$13</c:f>
              <c:numCache/>
            </c:numRef>
          </c:val>
          <c:smooth val="1"/>
        </c:ser>
        <c:axId val="32136034"/>
        <c:axId val="1134788875"/>
      </c:lineChart>
      <c:catAx>
        <c:axId val="321360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Tahoma"/>
                  </a:defRPr>
                </a:pPr>
                <a:r>
                  <a:rPr b="1" sz="1400">
                    <a:solidFill>
                      <a:srgbClr val="000000"/>
                    </a:solidFill>
                    <a:latin typeface="Tahoma"/>
                  </a:rPr>
                  <a:t>Month-Year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Tahoma"/>
              </a:defRPr>
            </a:pPr>
          </a:p>
        </c:txPr>
        <c:crossAx val="1134788875"/>
      </c:catAx>
      <c:valAx>
        <c:axId val="11347888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Tahoma"/>
                  </a:defRPr>
                </a:pPr>
                <a:r>
                  <a:rPr b="1" sz="1400">
                    <a:solidFill>
                      <a:srgbClr val="000000"/>
                    </a:solidFill>
                    <a:latin typeface="Tahoma"/>
                  </a:rPr>
                  <a:t>kVA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321360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Tahoma"/>
              </a:defRPr>
            </a:pPr>
            <a:r>
              <a:rPr b="1" sz="1600">
                <a:solidFill>
                  <a:srgbClr val="000000"/>
                </a:solidFill>
                <a:latin typeface="Tahoma"/>
              </a:rPr>
              <a:t>Solar Units for Financial Feasibility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Angiplast!$Q$1</c:f>
            </c:strRef>
          </c:tx>
          <c:spPr>
            <a:ln cmpd="sng">
              <a:solidFill>
                <a:srgbClr val="6D9EE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Angiplast!$A$2:$A$13</c:f>
            </c:strRef>
          </c:cat>
          <c:val>
            <c:numRef>
              <c:f>Angiplast!$Q$2:$Q$13</c:f>
              <c:numCache/>
            </c:numRef>
          </c:val>
          <c:smooth val="1"/>
        </c:ser>
        <c:ser>
          <c:idx val="1"/>
          <c:order val="1"/>
          <c:tx>
            <c:strRef>
              <c:f>Angiplast!$S$1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Angiplast!$A$2:$A$13</c:f>
            </c:strRef>
          </c:cat>
          <c:val>
            <c:numRef>
              <c:f>Angiplast!$S$2:$S$13</c:f>
              <c:numCache/>
            </c:numRef>
          </c:val>
          <c:smooth val="1"/>
        </c:ser>
        <c:ser>
          <c:idx val="2"/>
          <c:order val="2"/>
          <c:tx>
            <c:strRef>
              <c:f>Angiplast!$U$1</c:f>
            </c:strRef>
          </c:tx>
          <c:spPr>
            <a:ln cmpd="sng">
              <a:solidFill>
                <a:srgbClr val="FFD96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Angiplast!$A$2:$A$13</c:f>
            </c:strRef>
          </c:cat>
          <c:val>
            <c:numRef>
              <c:f>Angiplast!$U$2:$U$13</c:f>
              <c:numCache/>
            </c:numRef>
          </c:val>
          <c:smooth val="1"/>
        </c:ser>
        <c:ser>
          <c:idx val="3"/>
          <c:order val="3"/>
          <c:tx>
            <c:strRef>
              <c:f>Angiplast!$W$1</c:f>
            </c:strRef>
          </c:tx>
          <c:spPr>
            <a:ln cmpd="sng">
              <a:solidFill>
                <a:srgbClr val="6AA84F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Angiplast!$A$2:$A$13</c:f>
            </c:strRef>
          </c:cat>
          <c:val>
            <c:numRef>
              <c:f>Angiplast!$W$2:$W$14</c:f>
              <c:numCache/>
            </c:numRef>
          </c:val>
          <c:smooth val="1"/>
        </c:ser>
        <c:axId val="503029404"/>
        <c:axId val="1627517184"/>
      </c:lineChart>
      <c:catAx>
        <c:axId val="5030294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Tahoma"/>
                  </a:defRPr>
                </a:pPr>
                <a:r>
                  <a:rPr b="1" sz="1400">
                    <a:solidFill>
                      <a:srgbClr val="000000"/>
                    </a:solidFill>
                    <a:latin typeface="Tahoma"/>
                  </a:rPr>
                  <a:t>Month-Year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627517184"/>
      </c:catAx>
      <c:valAx>
        <c:axId val="16275171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Tahoma"/>
                  </a:defRPr>
                </a:pPr>
                <a:r>
                  <a:rPr b="1" sz="1400">
                    <a:solidFill>
                      <a:srgbClr val="000000"/>
                    </a:solidFill>
                    <a:latin typeface="Tahoma"/>
                  </a:rPr>
                  <a:t>kWh (Units)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5030294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Tahoma"/>
              </a:defRPr>
            </a:pPr>
            <a:r>
              <a:rPr b="1" sz="1600">
                <a:solidFill>
                  <a:srgbClr val="000000"/>
                </a:solidFill>
                <a:latin typeface="Tahoma"/>
              </a:rPr>
              <a:t>Unit Cost Breakdown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Angiplast!$AK$26</c:f>
            </c:strRef>
          </c:tx>
          <c:dPt>
            <c:idx val="0"/>
            <c:spPr>
              <a:solidFill>
                <a:srgbClr val="FF0000"/>
              </a:solidFill>
            </c:spPr>
          </c:dPt>
          <c:dPt>
            <c:idx val="1"/>
            <c:explosion val="0"/>
            <c:spPr>
              <a:solidFill>
                <a:schemeClr val="accent5"/>
              </a:solidFill>
            </c:spPr>
          </c:dPt>
          <c:dPt>
            <c:idx val="2"/>
            <c:explosion val="0"/>
            <c:spPr>
              <a:solidFill>
                <a:schemeClr val="accent3"/>
              </a:solidFill>
            </c:spPr>
          </c:dPt>
          <c:dPt>
            <c:idx val="3"/>
            <c:explosion val="0"/>
            <c:spPr>
              <a:solidFill>
                <a:schemeClr val="accent6"/>
              </a:solidFill>
            </c:spPr>
          </c:dPt>
          <c:dPt>
            <c:idx val="4"/>
            <c:spPr>
              <a:solidFill>
                <a:srgbClr val="FFD96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Angiplast!$AJ$27:$AJ$31</c:f>
            </c:strRef>
          </c:cat>
          <c:val>
            <c:numRef>
              <c:f>Angiplast!$AK$27:$AK$31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Tahoma"/>
              </a:defRPr>
            </a:pPr>
            <a:r>
              <a:rPr b="1" sz="1600">
                <a:solidFill>
                  <a:srgbClr val="000000"/>
                </a:solidFill>
                <a:latin typeface="Tahoma"/>
              </a:rPr>
              <a:t>Energy Consumption Pattern</a:t>
            </a:r>
          </a:p>
        </c:rich>
      </c:tx>
      <c:overlay val="0"/>
    </c:title>
    <c:view3D>
      <c:rotX val="50"/>
      <c:perspective val="0"/>
    </c:view3D>
    <c:plotArea>
      <c:layout/>
      <c:doughnutChart>
        <c:varyColors val="1"/>
        <c:ser>
          <c:idx val="0"/>
          <c:order val="0"/>
          <c:tx>
            <c:strRef>
              <c:f>Angiplast!$AK$20</c:f>
            </c:strRef>
          </c:tx>
          <c:dPt>
            <c:idx val="0"/>
            <c:spPr>
              <a:solidFill>
                <a:srgbClr val="FF0000"/>
              </a:solidFill>
            </c:spPr>
          </c:dPt>
          <c:dPt>
            <c:idx val="1"/>
            <c:spPr>
              <a:solidFill>
                <a:schemeClr val="accent3"/>
              </a:solidFill>
            </c:spPr>
          </c:dPt>
          <c:dPt>
            <c:idx val="2"/>
            <c:spPr>
              <a:solidFill>
                <a:srgbClr val="1155CC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Angiplast!$AJ$21:$AJ$23</c:f>
            </c:strRef>
          </c:cat>
          <c:val>
            <c:numRef>
              <c:f>Angiplast!$AK$21:$AK$23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Tahoma"/>
              </a:defRPr>
            </a:pPr>
            <a:r>
              <a:rPr b="1" sz="1600">
                <a:solidFill>
                  <a:srgbClr val="000000"/>
                </a:solidFill>
                <a:latin typeface="Tahoma"/>
              </a:rPr>
              <a:t>Monthly Units Consumption Trend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Angiplast!$I$1</c:f>
            </c:strRef>
          </c:tx>
          <c:spPr>
            <a:ln cmpd="sng">
              <a:solidFill>
                <a:srgbClr val="6D9EEB">
                  <a:alpha val="100000"/>
                </a:srgbClr>
              </a:solidFill>
              <a:prstDash val="sysDot"/>
            </a:ln>
          </c:spPr>
          <c:marker>
            <c:symbol val="none"/>
          </c:marker>
          <c:dPt>
            <c:idx val="5"/>
            <c:marker>
              <c:symbol val="triangle"/>
              <c:size val="7"/>
              <c:spPr>
                <a:solidFill>
                  <a:srgbClr val="FF9900"/>
                </a:solidFill>
                <a:ln cmpd="sng">
                  <a:solidFill>
                    <a:srgbClr val="FF9900"/>
                  </a:solidFill>
                </a:ln>
              </c:spPr>
            </c:marker>
          </c:dPt>
          <c:dPt>
            <c:idx val="7"/>
            <c:marker>
              <c:symbol val="x"/>
              <c:size val="7"/>
              <c:spPr>
                <a:solidFill>
                  <a:srgbClr val="FF0000"/>
                </a:solidFill>
                <a:ln cmpd="sng">
                  <a:solidFill>
                    <a:srgbClr val="FF0000"/>
                  </a:solidFill>
                </a:ln>
              </c:spPr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>
                    <a:latin typeface="Tahoma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>Trendline for kWh (Units) Consumed</c:name>
            <c:spPr>
              <a:ln w="19050">
                <a:solidFill>
                  <a:srgbClr val="FFE599">
                    <a:alpha val="8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Angiplast!$A$2:$A$13</c:f>
            </c:strRef>
          </c:cat>
          <c:val>
            <c:numRef>
              <c:f>Angiplast!$I$2:$I$13</c:f>
              <c:numCache/>
            </c:numRef>
          </c:val>
          <c:smooth val="1"/>
        </c:ser>
        <c:ser>
          <c:idx val="1"/>
          <c:order val="1"/>
          <c:tx>
            <c:strRef>
              <c:f>Angiplast!$K$1</c:f>
            </c:strRef>
          </c:tx>
          <c:spPr>
            <a:ln cmpd="sng">
              <a:solidFill>
                <a:srgbClr val="1155CC">
                  <a:alpha val="100000"/>
                </a:srgbClr>
              </a:solidFill>
            </a:ln>
          </c:spPr>
          <c:marker>
            <c:symbol val="circle"/>
            <c:size val="2"/>
            <c:spPr>
              <a:solidFill>
                <a:srgbClr val="1155CC">
                  <a:alpha val="100000"/>
                </a:srgbClr>
              </a:solidFill>
              <a:ln cmpd="sng">
                <a:solidFill>
                  <a:srgbClr val="1155CC">
                    <a:alpha val="100000"/>
                  </a:srgbClr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Angiplast!$A$2:$A$13</c:f>
            </c:strRef>
          </c:cat>
          <c:val>
            <c:numRef>
              <c:f>Angiplast!$K$2:$K$13</c:f>
              <c:numCache/>
            </c:numRef>
          </c:val>
          <c:smooth val="1"/>
        </c:ser>
        <c:ser>
          <c:idx val="2"/>
          <c:order val="2"/>
          <c:tx>
            <c:strRef>
              <c:f>Angiplast!$M$1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Angiplast!$A$2:$A$13</c:f>
            </c:strRef>
          </c:cat>
          <c:val>
            <c:numRef>
              <c:f>Angiplast!$M$2:$M$13</c:f>
              <c:numCache/>
            </c:numRef>
          </c:val>
          <c:smooth val="1"/>
        </c:ser>
        <c:axId val="1992359808"/>
        <c:axId val="1774560318"/>
      </c:lineChart>
      <c:catAx>
        <c:axId val="19923598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Tahoma"/>
                  </a:defRPr>
                </a:pPr>
                <a:r>
                  <a:rPr b="1" sz="1400">
                    <a:solidFill>
                      <a:srgbClr val="000000"/>
                    </a:solidFill>
                    <a:latin typeface="Tahoma"/>
                  </a:rPr>
                  <a:t>Month-Year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Tahoma"/>
              </a:defRPr>
            </a:pPr>
          </a:p>
        </c:txPr>
        <c:crossAx val="1774560318"/>
      </c:catAx>
      <c:valAx>
        <c:axId val="17745603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Tahoma"/>
                  </a:defRPr>
                </a:pPr>
                <a:r>
                  <a:rPr b="1">
                    <a:solidFill>
                      <a:srgbClr val="000000"/>
                    </a:solidFill>
                    <a:latin typeface="Tahoma"/>
                  </a:rPr>
                  <a:t>kWh (Units)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Tahoma"/>
              </a:defRPr>
            </a:pPr>
          </a:p>
        </c:txPr>
        <c:crossAx val="19923598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Tahoma"/>
              </a:defRPr>
            </a:pPr>
            <a:r>
              <a:rPr b="1" sz="1600">
                <a:solidFill>
                  <a:srgbClr val="000000"/>
                </a:solidFill>
                <a:latin typeface="Tahoma"/>
              </a:rPr>
              <a:t>Monthly Net Payable &amp; Consumption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Angiplast!$BJ$30</c:f>
            </c:strRef>
          </c:tx>
          <c:spPr>
            <a:ln cmpd="sng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Angiplast!$BI$31:$BI$42</c:f>
            </c:strRef>
          </c:cat>
          <c:val>
            <c:numRef>
              <c:f>Angiplast!$BJ$31:$BJ$42</c:f>
              <c:numCache/>
            </c:numRef>
          </c:val>
          <c:smooth val="0"/>
        </c:ser>
        <c:axId val="634098882"/>
        <c:axId val="1374551088"/>
      </c:lineChart>
      <c:catAx>
        <c:axId val="6340988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Tahoma"/>
                  </a:defRPr>
                </a:pPr>
                <a:r>
                  <a:rPr b="1">
                    <a:solidFill>
                      <a:srgbClr val="000000"/>
                    </a:solidFill>
                    <a:latin typeface="Tahoma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Tahoma"/>
              </a:defRPr>
            </a:pPr>
          </a:p>
        </c:txPr>
        <c:crossAx val="1374551088"/>
      </c:catAx>
      <c:valAx>
        <c:axId val="13745510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Tahoma"/>
                  </a:defRPr>
                </a:pPr>
                <a:r>
                  <a:rPr b="1">
                    <a:solidFill>
                      <a:srgbClr val="000000"/>
                    </a:solidFill>
                    <a:latin typeface="Tahoma"/>
                  </a:rPr>
                  <a:t>KWh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634098882"/>
      </c:valAx>
      <c:barChart>
        <c:barDir val="col"/>
        <c:ser>
          <c:idx val="1"/>
          <c:order val="1"/>
          <c:tx>
            <c:strRef>
              <c:f>Angiplast!$BK$30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Angiplast!$BI$31:$BI$42</c:f>
            </c:strRef>
          </c:cat>
          <c:val>
            <c:numRef>
              <c:f>Angiplast!$BK$31:$BK$42</c:f>
              <c:numCache/>
            </c:numRef>
          </c:val>
        </c:ser>
        <c:axId val="960348781"/>
        <c:axId val="988090240"/>
      </c:barChart>
      <c:catAx>
        <c:axId val="96034878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400">
                <a:solidFill>
                  <a:srgbClr val="000000"/>
                </a:solidFill>
                <a:latin typeface="Tahoma"/>
              </a:defRPr>
            </a:pPr>
          </a:p>
        </c:txPr>
        <c:crossAx val="988090240"/>
      </c:catAx>
      <c:valAx>
        <c:axId val="988090240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Rupees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034878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Tahoma"/>
              </a:defRPr>
            </a:pPr>
            <a:r>
              <a:rPr b="1" sz="1600">
                <a:solidFill>
                  <a:srgbClr val="000000"/>
                </a:solidFill>
                <a:latin typeface="Tahoma"/>
              </a:rPr>
              <a:t>Monthly Solar Generation vs. Consumption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Angiplast!$BJ$45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Angiplast!$BI$46:$BI$57</c:f>
            </c:strRef>
          </c:cat>
          <c:val>
            <c:numRef>
              <c:f>Angiplast!$BJ$46:$BJ$57</c:f>
              <c:numCache/>
            </c:numRef>
          </c:val>
        </c:ser>
        <c:ser>
          <c:idx val="1"/>
          <c:order val="1"/>
          <c:tx>
            <c:strRef>
              <c:f>Angiplast!$BK$45</c:f>
            </c:strRef>
          </c:tx>
          <c:spPr>
            <a:solidFill>
              <a:srgbClr val="F1C232"/>
            </a:solidFill>
            <a:ln cmpd="sng">
              <a:noFill/>
            </a:ln>
          </c:spPr>
          <c:cat>
            <c:strRef>
              <c:f>Angiplast!$BI$46:$BI$57</c:f>
            </c:strRef>
          </c:cat>
          <c:val>
            <c:numRef>
              <c:f>Angiplast!$BK$46:$BK$57</c:f>
              <c:numCache/>
            </c:numRef>
          </c:val>
        </c:ser>
        <c:ser>
          <c:idx val="2"/>
          <c:order val="2"/>
          <c:tx>
            <c:strRef>
              <c:f>Angiplast!$BL$45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Angiplast!$BI$46:$BI$57</c:f>
            </c:strRef>
          </c:cat>
          <c:val>
            <c:numRef>
              <c:f>Angiplast!$BL$46:$BL$57</c:f>
              <c:numCache/>
            </c:numRef>
          </c:val>
        </c:ser>
        <c:axId val="33347086"/>
        <c:axId val="1485048850"/>
      </c:barChart>
      <c:catAx>
        <c:axId val="333470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Tahoma"/>
                  </a:defRPr>
                </a:pPr>
                <a:r>
                  <a:rPr b="1" sz="1400">
                    <a:solidFill>
                      <a:srgbClr val="000000"/>
                    </a:solidFill>
                    <a:latin typeface="Tahoma"/>
                  </a:rPr>
                  <a:t>Month-Year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Tahoma"/>
              </a:defRPr>
            </a:pPr>
          </a:p>
        </c:txPr>
        <c:crossAx val="1485048850"/>
      </c:catAx>
      <c:valAx>
        <c:axId val="148504885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Tahoma"/>
                  </a:defRPr>
                </a:pPr>
                <a:r>
                  <a:rPr b="0" sz="1400">
                    <a:solidFill>
                      <a:srgbClr val="000000"/>
                    </a:solidFill>
                    <a:latin typeface="Tahoma"/>
                  </a:rPr>
                  <a:t>KWh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3470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chemeClr val="dk1"/>
                </a:solidFill>
                <a:latin typeface="Tahoma"/>
              </a:defRPr>
            </a:pPr>
            <a:r>
              <a:rPr b="1" sz="1600">
                <a:solidFill>
                  <a:schemeClr val="dk1"/>
                </a:solidFill>
                <a:latin typeface="Tahoma"/>
              </a:rPr>
              <a:t>Unit Rate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Angiplast!$BC$1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Angiplast!$A$2:$A$13</c:f>
            </c:strRef>
          </c:cat>
          <c:val>
            <c:numRef>
              <c:f>Angiplast!$BC$2:$BC$13</c:f>
              <c:numCache/>
            </c:numRef>
          </c:val>
          <c:smooth val="0"/>
        </c:ser>
        <c:ser>
          <c:idx val="1"/>
          <c:order val="1"/>
          <c:tx>
            <c:strRef>
              <c:f>Angiplast!$BD$1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Angiplast!$A$2:$A$13</c:f>
            </c:strRef>
          </c:cat>
          <c:val>
            <c:numRef>
              <c:f>Angiplast!$BD$2:$BD$13</c:f>
              <c:numCache/>
            </c:numRef>
          </c:val>
          <c:smooth val="0"/>
        </c:ser>
        <c:axId val="1978695713"/>
        <c:axId val="477438642"/>
      </c:lineChart>
      <c:catAx>
        <c:axId val="1978695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Tahoma"/>
                  </a:defRPr>
                </a:pPr>
                <a:r>
                  <a:rPr b="1" sz="1400">
                    <a:solidFill>
                      <a:srgbClr val="000000"/>
                    </a:solidFill>
                    <a:latin typeface="Tahoma"/>
                  </a:rPr>
                  <a:t>Billing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Tahoma"/>
              </a:defRPr>
            </a:pPr>
          </a:p>
        </c:txPr>
        <c:crossAx val="477438642"/>
      </c:catAx>
      <c:valAx>
        <c:axId val="4774386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Tahoma"/>
                  </a:defRPr>
                </a:pPr>
                <a:r>
                  <a:rPr b="1" sz="1200">
                    <a:solidFill>
                      <a:srgbClr val="000000"/>
                    </a:solidFill>
                    <a:latin typeface="Tahoma"/>
                  </a:rPr>
                  <a:t>Unit Rate (Rs.)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ahoma"/>
              </a:defRPr>
            </a:pPr>
          </a:p>
        </c:txPr>
        <c:crossAx val="19786957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ahoma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20</xdr:row>
      <xdr:rowOff>47625</xdr:rowOff>
    </xdr:from>
    <xdr:ext cx="6048375" cy="3886200"/>
    <xdr:graphicFrame>
      <xdr:nvGraphicFramePr>
        <xdr:cNvPr id="177108109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180975</xdr:colOff>
      <xdr:row>39</xdr:row>
      <xdr:rowOff>66675</xdr:rowOff>
    </xdr:from>
    <xdr:ext cx="6191250" cy="3619500"/>
    <xdr:graphicFrame>
      <xdr:nvGraphicFramePr>
        <xdr:cNvPr id="1997635630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0</xdr:colOff>
      <xdr:row>39</xdr:row>
      <xdr:rowOff>66675</xdr:rowOff>
    </xdr:from>
    <xdr:ext cx="6048375" cy="3619500"/>
    <xdr:graphicFrame>
      <xdr:nvGraphicFramePr>
        <xdr:cNvPr id="514539290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22</xdr:col>
      <xdr:colOff>752475</xdr:colOff>
      <xdr:row>20</xdr:row>
      <xdr:rowOff>47625</xdr:rowOff>
    </xdr:from>
    <xdr:ext cx="5924550" cy="3848100"/>
    <xdr:graphicFrame>
      <xdr:nvGraphicFramePr>
        <xdr:cNvPr id="444615210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13</xdr:col>
      <xdr:colOff>180975</xdr:colOff>
      <xdr:row>20</xdr:row>
      <xdr:rowOff>47625</xdr:rowOff>
    </xdr:from>
    <xdr:ext cx="6191250" cy="3848100"/>
    <xdr:graphicFrame>
      <xdr:nvGraphicFramePr>
        <xdr:cNvPr id="1332995842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0</xdr:colOff>
      <xdr:row>57</xdr:row>
      <xdr:rowOff>123825</xdr:rowOff>
    </xdr:from>
    <xdr:ext cx="6048375" cy="3581400"/>
    <xdr:graphicFrame>
      <xdr:nvGraphicFramePr>
        <xdr:cNvPr id="1653354931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22</xdr:col>
      <xdr:colOff>742950</xdr:colOff>
      <xdr:row>39</xdr:row>
      <xdr:rowOff>66675</xdr:rowOff>
    </xdr:from>
    <xdr:ext cx="5924550" cy="3619500"/>
    <xdr:graphicFrame>
      <xdr:nvGraphicFramePr>
        <xdr:cNvPr id="1244329500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22</xdr:col>
      <xdr:colOff>752475</xdr:colOff>
      <xdr:row>57</xdr:row>
      <xdr:rowOff>123825</xdr:rowOff>
    </xdr:from>
    <xdr:ext cx="6010275" cy="3581400"/>
    <xdr:pic>
      <xdr:nvPicPr>
        <xdr:cNvPr id="1446261034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180975</xdr:colOff>
      <xdr:row>57</xdr:row>
      <xdr:rowOff>123825</xdr:rowOff>
    </xdr:from>
    <xdr:ext cx="6191250" cy="3581400"/>
    <xdr:graphicFrame>
      <xdr:nvGraphicFramePr>
        <xdr:cNvPr id="2113504453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3.14"/>
    <col customWidth="1" min="2" max="2" width="5.29"/>
    <col customWidth="1" min="3" max="3" width="6.29"/>
    <col customWidth="1" min="4" max="4" width="6.14"/>
    <col customWidth="1" min="5" max="5" width="8.57"/>
    <col customWidth="1" min="6" max="7" width="8.14"/>
    <col customWidth="1" min="8" max="8" width="6.43"/>
    <col customWidth="1" min="9" max="9" width="10.14"/>
    <col customWidth="1" min="10" max="10" width="6.57"/>
    <col customWidth="1" min="11" max="15" width="7.43"/>
    <col customWidth="1" min="16" max="16" width="10.43"/>
    <col customWidth="1" min="17" max="17" width="9.29"/>
    <col customWidth="1" min="18" max="18" width="11.14"/>
    <col customWidth="1" min="19" max="19" width="9.43"/>
    <col customWidth="1" min="20" max="21" width="10.0"/>
    <col customWidth="1" min="22" max="22" width="9.14"/>
    <col customWidth="1" min="23" max="23" width="14.0"/>
    <col customWidth="1" min="24" max="25" width="10.29"/>
    <col customWidth="1" min="26" max="27" width="8.43"/>
    <col customWidth="1" min="28" max="28" width="11.14"/>
    <col customWidth="1" min="29" max="29" width="9.29"/>
    <col customWidth="1" min="30" max="30" width="12.0"/>
    <col customWidth="1" min="31" max="31" width="9.0"/>
    <col customWidth="1" min="32" max="32" width="11.29"/>
    <col customWidth="1" min="33" max="33" width="7.71"/>
    <col customWidth="1" min="34" max="34" width="9.57"/>
    <col customWidth="1" min="35" max="35" width="10.43"/>
    <col customWidth="1" min="36" max="36" width="7.29"/>
    <col customWidth="1" min="37" max="38" width="12.14"/>
    <col customWidth="1" min="39" max="39" width="8.71"/>
    <col customWidth="1" min="40" max="41" width="12.86"/>
    <col customWidth="1" min="42" max="42" width="11.43"/>
    <col customWidth="1" min="43" max="43" width="9.0"/>
    <col customWidth="1" min="44" max="44" width="8.14"/>
    <col customWidth="1" min="45" max="46" width="12.0"/>
    <col customWidth="1" min="47" max="47" width="11.29"/>
    <col customWidth="1" min="48" max="48" width="11.0"/>
    <col customWidth="1" min="49" max="49" width="8.86"/>
    <col customWidth="1" min="50" max="50" width="9.14"/>
    <col customWidth="1" min="51" max="51" width="11.29"/>
    <col customWidth="1" min="52" max="53" width="9.14"/>
    <col customWidth="1" min="54" max="54" width="12.0"/>
    <col customWidth="1" min="55" max="55" width="12.57"/>
    <col customWidth="1" min="56" max="56" width="14.29"/>
    <col customWidth="1" min="57" max="58" width="9.57"/>
    <col customWidth="1" min="59" max="59" width="25.0"/>
    <col customWidth="1" min="60" max="60" width="50.0"/>
    <col customWidth="1" min="61" max="61" width="14.0"/>
    <col customWidth="1" min="62" max="62" width="18.14"/>
    <col customWidth="1" min="63" max="63" width="18.43"/>
    <col customWidth="1" min="64" max="65" width="14.0"/>
  </cols>
  <sheetData>
    <row r="1" ht="39.75" customHeight="1">
      <c r="A1" s="13" t="s">
        <v>0</v>
      </c>
      <c r="B1" s="14" t="s">
        <v>20</v>
      </c>
      <c r="C1" s="14" t="s">
        <v>21</v>
      </c>
      <c r="D1" s="14" t="s">
        <v>22</v>
      </c>
      <c r="E1" s="14" t="s">
        <v>23</v>
      </c>
      <c r="F1" s="13" t="s">
        <v>24</v>
      </c>
      <c r="G1" s="14" t="s">
        <v>25</v>
      </c>
      <c r="H1" s="14" t="s">
        <v>26</v>
      </c>
      <c r="I1" s="15" t="s">
        <v>1</v>
      </c>
      <c r="J1" s="16" t="s">
        <v>27</v>
      </c>
      <c r="K1" s="17" t="s">
        <v>28</v>
      </c>
      <c r="L1" s="16" t="s">
        <v>29</v>
      </c>
      <c r="M1" s="15" t="s">
        <v>30</v>
      </c>
      <c r="N1" s="16" t="s">
        <v>29</v>
      </c>
      <c r="O1" s="15" t="s">
        <v>31</v>
      </c>
      <c r="P1" s="15" t="s">
        <v>32</v>
      </c>
      <c r="Q1" s="18" t="s">
        <v>2</v>
      </c>
      <c r="R1" s="19" t="s">
        <v>33</v>
      </c>
      <c r="S1" s="20" t="s">
        <v>34</v>
      </c>
      <c r="T1" s="19" t="s">
        <v>35</v>
      </c>
      <c r="U1" s="19" t="s">
        <v>36</v>
      </c>
      <c r="V1" s="19" t="s">
        <v>37</v>
      </c>
      <c r="W1" s="20" t="s">
        <v>38</v>
      </c>
      <c r="X1" s="21" t="s">
        <v>39</v>
      </c>
      <c r="Y1" s="22" t="s">
        <v>40</v>
      </c>
      <c r="Z1" s="16" t="s">
        <v>41</v>
      </c>
      <c r="AA1" s="22" t="s">
        <v>42</v>
      </c>
      <c r="AB1" s="22" t="s">
        <v>16</v>
      </c>
      <c r="AC1" s="16" t="s">
        <v>43</v>
      </c>
      <c r="AD1" s="22" t="s">
        <v>17</v>
      </c>
      <c r="AE1" s="16" t="s">
        <v>44</v>
      </c>
      <c r="AF1" s="22" t="s">
        <v>45</v>
      </c>
      <c r="AG1" s="22" t="s">
        <v>46</v>
      </c>
      <c r="AH1" s="21" t="s">
        <v>47</v>
      </c>
      <c r="AI1" s="21" t="s">
        <v>48</v>
      </c>
      <c r="AJ1" s="16" t="s">
        <v>49</v>
      </c>
      <c r="AK1" s="16" t="s">
        <v>50</v>
      </c>
      <c r="AL1" s="21" t="s">
        <v>51</v>
      </c>
      <c r="AM1" s="22" t="s">
        <v>52</v>
      </c>
      <c r="AN1" s="16" t="s">
        <v>53</v>
      </c>
      <c r="AO1" s="22" t="s">
        <v>54</v>
      </c>
      <c r="AP1" s="21" t="s">
        <v>55</v>
      </c>
      <c r="AQ1" s="21" t="s">
        <v>56</v>
      </c>
      <c r="AR1" s="22" t="s">
        <v>57</v>
      </c>
      <c r="AS1" s="21" t="s">
        <v>58</v>
      </c>
      <c r="AT1" s="22" t="s">
        <v>59</v>
      </c>
      <c r="AU1" s="21" t="s">
        <v>60</v>
      </c>
      <c r="AV1" s="16" t="s">
        <v>61</v>
      </c>
      <c r="AW1" s="22" t="s">
        <v>62</v>
      </c>
      <c r="AX1" s="21" t="s">
        <v>63</v>
      </c>
      <c r="AY1" s="16" t="s">
        <v>64</v>
      </c>
      <c r="AZ1" s="21" t="s">
        <v>65</v>
      </c>
      <c r="BA1" s="22" t="s">
        <v>66</v>
      </c>
      <c r="BB1" s="21" t="s">
        <v>67</v>
      </c>
      <c r="BC1" s="16" t="s">
        <v>18</v>
      </c>
      <c r="BD1" s="16" t="s">
        <v>68</v>
      </c>
      <c r="BE1" s="16" t="s">
        <v>69</v>
      </c>
      <c r="BF1" s="16" t="s">
        <v>19</v>
      </c>
      <c r="BG1" s="23"/>
      <c r="BH1" s="23"/>
      <c r="BI1" s="23"/>
      <c r="BJ1" s="23"/>
      <c r="BK1" s="23"/>
      <c r="BL1" s="23"/>
      <c r="BM1" s="23"/>
    </row>
    <row r="2">
      <c r="A2" s="3" t="s">
        <v>4</v>
      </c>
      <c r="B2" s="3" t="s">
        <v>70</v>
      </c>
      <c r="C2" s="3" t="s">
        <v>71</v>
      </c>
      <c r="D2" s="3" t="s">
        <v>72</v>
      </c>
      <c r="E2" s="3">
        <v>400.0</v>
      </c>
      <c r="F2" s="5">
        <v>310.0</v>
      </c>
      <c r="G2" s="3">
        <v>340.0</v>
      </c>
      <c r="H2" s="3">
        <v>0.997</v>
      </c>
      <c r="I2" s="3">
        <v>53988.0</v>
      </c>
      <c r="J2" s="5">
        <v>0.0</v>
      </c>
      <c r="K2" s="3">
        <v>17460.0</v>
      </c>
      <c r="L2" s="24">
        <f t="shared" ref="L2:L13" si="1">K2/I2</f>
        <v>0.3234052012</v>
      </c>
      <c r="M2" s="3">
        <v>18096.0</v>
      </c>
      <c r="N2" s="24">
        <f t="shared" ref="N2:N13" si="2">M2/I2</f>
        <v>0.3351855968</v>
      </c>
      <c r="O2" s="5">
        <v>17996.0</v>
      </c>
      <c r="P2" s="3">
        <v>17460.0</v>
      </c>
      <c r="Q2" s="3">
        <f t="shared" ref="Q2:Q13" si="3">W2+U2</f>
        <v>37920</v>
      </c>
      <c r="R2" s="5">
        <f t="shared" ref="R2:R13" si="4">I2-S2</f>
        <v>53565</v>
      </c>
      <c r="S2" s="5">
        <v>423.0</v>
      </c>
      <c r="T2" s="24">
        <f t="shared" ref="T2:T13" si="5">S2/Q2</f>
        <v>0.01115506329</v>
      </c>
      <c r="U2" s="5">
        <v>5003.0</v>
      </c>
      <c r="V2" s="24">
        <f t="shared" ref="V2:V13" si="6">U2/Q2</f>
        <v>0.131935654</v>
      </c>
      <c r="W2" s="5">
        <v>32917.0</v>
      </c>
      <c r="X2" s="25">
        <f t="shared" ref="X2:X13" si="7">W2/Q2</f>
        <v>0.868064346</v>
      </c>
      <c r="Y2" s="26">
        <v>51000.0</v>
      </c>
      <c r="Z2" s="25">
        <f t="shared" ref="Z2:Z13" si="8">Y2/AL2</f>
        <v>0.1267739245</v>
      </c>
      <c r="AA2" s="26">
        <v>0.0</v>
      </c>
      <c r="AB2" s="26">
        <v>215952.0</v>
      </c>
      <c r="AC2" s="25">
        <f t="shared" ref="AC2:AC13" si="9">AB2/AL2</f>
        <v>0.5368055402</v>
      </c>
      <c r="AD2" s="26">
        <v>132270.6</v>
      </c>
      <c r="AE2" s="25">
        <f t="shared" ref="AE2:AE13" si="10">AD2/AL2</f>
        <v>0.3287933934</v>
      </c>
      <c r="AF2" s="26">
        <v>-5074.87</v>
      </c>
      <c r="AG2" s="26">
        <v>0.0</v>
      </c>
      <c r="AH2" s="27">
        <v>0.0</v>
      </c>
      <c r="AI2" s="26">
        <v>8143.2</v>
      </c>
      <c r="AJ2" s="25">
        <f t="shared" ref="AJ2:AJ13" si="11">AI2/AL2</f>
        <v>0.0202420671</v>
      </c>
      <c r="AK2" s="26" t="str">
        <f t="shared" ref="AK2:AK13" si="12">Y2+AA2+AB2+#REF!+#REF!+AD2+AF2+AH2+AI2</f>
        <v>#REF!</v>
      </c>
      <c r="AL2" s="26">
        <v>402290.93</v>
      </c>
      <c r="AM2" s="27">
        <v>0.0</v>
      </c>
      <c r="AN2" s="27" t="str">
        <f t="shared" ref="AN2:AN13" si="13">AK2+AM2</f>
        <v>#REF!</v>
      </c>
      <c r="AO2" s="27">
        <v>36208.67</v>
      </c>
      <c r="AP2" s="27">
        <v>-11256.82</v>
      </c>
      <c r="AQ2" s="27">
        <v>-2735.75</v>
      </c>
      <c r="AR2" s="27">
        <v>0.0</v>
      </c>
      <c r="AS2" s="26"/>
      <c r="AT2" s="26">
        <v>0.0</v>
      </c>
      <c r="AU2" s="26">
        <v>22648.1</v>
      </c>
      <c r="AV2" s="26">
        <f>AO2+AZ2+AP2+AQ2</f>
        <v>22648.1</v>
      </c>
      <c r="AW2" s="26">
        <v>0.0</v>
      </c>
      <c r="AX2" s="27">
        <v>0.0</v>
      </c>
      <c r="AY2" s="26" t="str">
        <f>AN2+AT2+AU2+AX2</f>
        <v>#REF!</v>
      </c>
      <c r="AZ2" s="27">
        <v>432.0</v>
      </c>
      <c r="BA2" s="26">
        <v>0.0</v>
      </c>
      <c r="BB2" s="27">
        <v>424939.03</v>
      </c>
      <c r="BC2" s="3" t="str">
        <f t="shared" ref="BC2:BC13" si="14">AK2/I2</f>
        <v>#REF!</v>
      </c>
      <c r="BD2" s="26" t="str">
        <f t="shared" ref="BD2:BD13" si="15">(AK2+Y2)/I2</f>
        <v>#REF!</v>
      </c>
      <c r="BE2" s="26">
        <f t="shared" ref="BE2:BE13" si="16">(BB2-Y2)/R2</f>
        <v>6.981032951</v>
      </c>
      <c r="BF2" s="26">
        <f t="shared" ref="BF2:BF13" si="17">BB2/I2</f>
        <v>7.870990405</v>
      </c>
    </row>
    <row r="3">
      <c r="A3" s="3" t="s">
        <v>5</v>
      </c>
      <c r="B3" s="3" t="s">
        <v>70</v>
      </c>
      <c r="C3" s="3" t="s">
        <v>71</v>
      </c>
      <c r="D3" s="3" t="s">
        <v>72</v>
      </c>
      <c r="E3" s="3">
        <v>400.0</v>
      </c>
      <c r="F3" s="5">
        <v>282.0</v>
      </c>
      <c r="G3" s="3">
        <v>340.0</v>
      </c>
      <c r="H3" s="3">
        <v>0.998</v>
      </c>
      <c r="I3" s="3">
        <v>52176.0</v>
      </c>
      <c r="J3" s="25">
        <f>(I3-I13)/I13</f>
        <v>-0.05086225715</v>
      </c>
      <c r="K3" s="3">
        <v>20214.0</v>
      </c>
      <c r="L3" s="24">
        <f t="shared" si="1"/>
        <v>0.3874195032</v>
      </c>
      <c r="M3" s="3">
        <v>19212.0</v>
      </c>
      <c r="N3" s="24">
        <f t="shared" si="2"/>
        <v>0.3682152714</v>
      </c>
      <c r="O3" s="5">
        <v>17392.0</v>
      </c>
      <c r="P3" s="3">
        <v>20214.0</v>
      </c>
      <c r="Q3" s="3">
        <f t="shared" si="3"/>
        <v>89760</v>
      </c>
      <c r="R3" s="5">
        <f t="shared" si="4"/>
        <v>49876</v>
      </c>
      <c r="S3" s="5">
        <v>2300.0</v>
      </c>
      <c r="T3" s="24">
        <f t="shared" si="5"/>
        <v>0.02562388592</v>
      </c>
      <c r="U3" s="5">
        <v>18318.0</v>
      </c>
      <c r="V3" s="24">
        <f t="shared" si="6"/>
        <v>0.2040775401</v>
      </c>
      <c r="W3" s="5">
        <v>71442.0</v>
      </c>
      <c r="X3" s="25">
        <f t="shared" si="7"/>
        <v>0.7959224599</v>
      </c>
      <c r="Y3" s="26">
        <v>51000.0</v>
      </c>
      <c r="Z3" s="25">
        <f t="shared" si="8"/>
        <v>0.1310768715</v>
      </c>
      <c r="AA3" s="26">
        <v>0.0</v>
      </c>
      <c r="AB3" s="26">
        <v>208704.0</v>
      </c>
      <c r="AC3" s="25">
        <f t="shared" si="9"/>
        <v>0.5363974</v>
      </c>
      <c r="AD3" s="26">
        <v>127831.2</v>
      </c>
      <c r="AE3" s="25">
        <f t="shared" si="10"/>
        <v>0.3285434075</v>
      </c>
      <c r="AF3" s="26">
        <v>-5008.9</v>
      </c>
      <c r="AG3" s="26">
        <v>0.0</v>
      </c>
      <c r="AH3" s="27">
        <v>-2087.04</v>
      </c>
      <c r="AI3" s="26">
        <v>8645.4</v>
      </c>
      <c r="AJ3" s="25">
        <f t="shared" si="11"/>
        <v>0.02221984285</v>
      </c>
      <c r="AK3" s="26" t="str">
        <f t="shared" si="12"/>
        <v>#REF!</v>
      </c>
      <c r="AL3" s="26">
        <v>389084.66000000003</v>
      </c>
      <c r="AM3" s="27">
        <v>0.0</v>
      </c>
      <c r="AN3" s="27" t="str">
        <f t="shared" si="13"/>
        <v>#REF!</v>
      </c>
      <c r="AO3" s="27">
        <v>78585.8</v>
      </c>
      <c r="AP3" s="27">
        <v>-41215.64</v>
      </c>
      <c r="AQ3" s="27">
        <v>-14859.43</v>
      </c>
      <c r="AR3" s="27">
        <v>0.0</v>
      </c>
      <c r="AS3" s="26"/>
      <c r="AT3" s="26">
        <v>0.0</v>
      </c>
      <c r="AU3" s="26">
        <v>-93698.94</v>
      </c>
      <c r="AV3" s="26">
        <f t="shared" ref="AV3:AV13" si="18">AO3+AZ3+AP3+AQ3+AW3+BA3</f>
        <v>-93698.26</v>
      </c>
      <c r="AW3" s="27">
        <v>-975.24</v>
      </c>
      <c r="AX3" s="27">
        <v>0.0</v>
      </c>
      <c r="AY3" s="26" t="str">
        <f>AN3+AT3+AV3+AX3</f>
        <v>#REF!</v>
      </c>
      <c r="AZ3" s="27">
        <v>0.0</v>
      </c>
      <c r="BA3" s="27">
        <v>-115233.75</v>
      </c>
      <c r="BB3" s="27" t="str">
        <f t="shared" ref="BB3:BB13" si="19">AY3+AZ3</f>
        <v>#REF!</v>
      </c>
      <c r="BC3" s="3" t="str">
        <f t="shared" si="14"/>
        <v>#REF!</v>
      </c>
      <c r="BD3" s="26" t="str">
        <f t="shared" si="15"/>
        <v>#REF!</v>
      </c>
      <c r="BE3" s="26" t="str">
        <f t="shared" si="16"/>
        <v>#REF!</v>
      </c>
      <c r="BF3" s="3" t="str">
        <f t="shared" si="17"/>
        <v>#REF!</v>
      </c>
    </row>
    <row r="4">
      <c r="A4" s="3" t="s">
        <v>6</v>
      </c>
      <c r="B4" s="3" t="s">
        <v>70</v>
      </c>
      <c r="C4" s="3" t="s">
        <v>71</v>
      </c>
      <c r="D4" s="3" t="s">
        <v>72</v>
      </c>
      <c r="E4" s="3">
        <v>400.0</v>
      </c>
      <c r="F4" s="5">
        <v>350.0</v>
      </c>
      <c r="G4" s="3">
        <v>350.0</v>
      </c>
      <c r="H4" s="3">
        <v>0.997</v>
      </c>
      <c r="I4" s="3">
        <v>66912.0</v>
      </c>
      <c r="J4" s="25">
        <f>(I4-I5)/I5</f>
        <v>-0.1360396653</v>
      </c>
      <c r="K4" s="3">
        <v>21540.0</v>
      </c>
      <c r="L4" s="24">
        <f t="shared" si="1"/>
        <v>0.3219153515</v>
      </c>
      <c r="M4" s="3">
        <v>24306.0</v>
      </c>
      <c r="N4" s="24">
        <f t="shared" si="2"/>
        <v>0.3632532281</v>
      </c>
      <c r="O4" s="5">
        <v>22304.0</v>
      </c>
      <c r="P4" s="3">
        <v>21540.0</v>
      </c>
      <c r="Q4" s="3">
        <f t="shared" si="3"/>
        <v>45000</v>
      </c>
      <c r="R4" s="5">
        <f t="shared" si="4"/>
        <v>66145</v>
      </c>
      <c r="S4" s="5">
        <v>767.0</v>
      </c>
      <c r="T4" s="24">
        <f t="shared" si="5"/>
        <v>0.01704444444</v>
      </c>
      <c r="U4" s="5">
        <v>4216.0</v>
      </c>
      <c r="V4" s="24">
        <f t="shared" si="6"/>
        <v>0.09368888889</v>
      </c>
      <c r="W4" s="5">
        <v>40784.0</v>
      </c>
      <c r="X4" s="25">
        <f t="shared" si="7"/>
        <v>0.9063111111</v>
      </c>
      <c r="Y4" s="26">
        <v>52500.0</v>
      </c>
      <c r="Z4" s="25">
        <f t="shared" si="8"/>
        <v>0.1080127144</v>
      </c>
      <c r="AA4" s="26">
        <v>0.0</v>
      </c>
      <c r="AB4" s="26">
        <v>267648.0</v>
      </c>
      <c r="AC4" s="25">
        <f t="shared" si="9"/>
        <v>0.5506549901</v>
      </c>
      <c r="AD4" s="26">
        <v>163934.4</v>
      </c>
      <c r="AE4" s="25">
        <f t="shared" si="10"/>
        <v>0.3372761815</v>
      </c>
      <c r="AF4" s="26">
        <v>-6289.73</v>
      </c>
      <c r="AG4" s="26">
        <v>0.0</v>
      </c>
      <c r="AH4" s="27">
        <v>-2676.48</v>
      </c>
      <c r="AI4" s="26">
        <v>10937.7</v>
      </c>
      <c r="AJ4" s="25">
        <f t="shared" si="11"/>
        <v>0.02250306031</v>
      </c>
      <c r="AK4" s="26" t="str">
        <f t="shared" si="12"/>
        <v>#REF!</v>
      </c>
      <c r="AL4" s="26">
        <v>486053.8900000001</v>
      </c>
      <c r="AM4" s="27">
        <v>0.0</v>
      </c>
      <c r="AN4" s="27" t="str">
        <f t="shared" si="13"/>
        <v>#REF!</v>
      </c>
      <c r="AO4" s="27">
        <v>44862.42</v>
      </c>
      <c r="AP4" s="27">
        <v>-9485.96</v>
      </c>
      <c r="AQ4" s="27">
        <v>-4966.41</v>
      </c>
      <c r="AR4" s="27">
        <v>0.0</v>
      </c>
      <c r="AS4" s="26"/>
      <c r="AT4" s="26">
        <v>0.0</v>
      </c>
      <c r="AU4" s="26">
        <v>30410.05</v>
      </c>
      <c r="AV4" s="26">
        <f t="shared" si="18"/>
        <v>30410.05</v>
      </c>
      <c r="AW4" s="26">
        <v>0.0</v>
      </c>
      <c r="AX4" s="27">
        <v>0.0</v>
      </c>
      <c r="AY4" s="26" t="str">
        <f t="shared" ref="AY4:AY13" si="20">AN4+AT4+AU4+AX4</f>
        <v>#REF!</v>
      </c>
      <c r="AZ4" s="27">
        <v>0.0</v>
      </c>
      <c r="BA4" s="26">
        <v>0.0</v>
      </c>
      <c r="BB4" s="27" t="str">
        <f t="shared" si="19"/>
        <v>#REF!</v>
      </c>
      <c r="BC4" s="3" t="str">
        <f t="shared" si="14"/>
        <v>#REF!</v>
      </c>
      <c r="BD4" s="26" t="str">
        <f t="shared" si="15"/>
        <v>#REF!</v>
      </c>
      <c r="BE4" s="26" t="str">
        <f t="shared" si="16"/>
        <v>#REF!</v>
      </c>
      <c r="BF4" s="3" t="str">
        <f t="shared" si="17"/>
        <v>#REF!</v>
      </c>
    </row>
    <row r="5">
      <c r="A5" s="3" t="s">
        <v>7</v>
      </c>
      <c r="B5" s="3" t="s">
        <v>70</v>
      </c>
      <c r="C5" s="3" t="s">
        <v>71</v>
      </c>
      <c r="D5" s="3" t="s">
        <v>72</v>
      </c>
      <c r="E5" s="3">
        <v>400.0</v>
      </c>
      <c r="F5" s="5">
        <v>300.0</v>
      </c>
      <c r="G5" s="3">
        <v>340.0</v>
      </c>
      <c r="H5" s="3">
        <v>0.997</v>
      </c>
      <c r="I5" s="3">
        <v>77448.0</v>
      </c>
      <c r="J5" s="25">
        <f>(I5-I11)/I11</f>
        <v>0.1084585659</v>
      </c>
      <c r="K5" s="3">
        <v>19314.0</v>
      </c>
      <c r="L5" s="24">
        <f t="shared" si="1"/>
        <v>0.2493802293</v>
      </c>
      <c r="M5" s="3">
        <v>28272.0</v>
      </c>
      <c r="N5" s="24">
        <f t="shared" si="2"/>
        <v>0.3650449334</v>
      </c>
      <c r="O5" s="5">
        <v>25816.0</v>
      </c>
      <c r="P5" s="3">
        <v>19314.0</v>
      </c>
      <c r="Q5" s="3">
        <f t="shared" si="3"/>
        <v>45000</v>
      </c>
      <c r="R5" s="5">
        <f t="shared" si="4"/>
        <v>77202</v>
      </c>
      <c r="S5" s="5">
        <v>246.0</v>
      </c>
      <c r="T5" s="24">
        <f t="shared" si="5"/>
        <v>0.005466666667</v>
      </c>
      <c r="U5" s="5">
        <v>6480.0</v>
      </c>
      <c r="V5" s="24">
        <f t="shared" si="6"/>
        <v>0.144</v>
      </c>
      <c r="W5" s="5">
        <v>38520.0</v>
      </c>
      <c r="X5" s="25">
        <f t="shared" si="7"/>
        <v>0.856</v>
      </c>
      <c r="Y5" s="26">
        <v>51000.0</v>
      </c>
      <c r="Z5" s="25">
        <f t="shared" si="8"/>
        <v>0.09224358594</v>
      </c>
      <c r="AA5" s="26">
        <v>0.0</v>
      </c>
      <c r="AB5" s="26">
        <v>309792.0</v>
      </c>
      <c r="AC5" s="25">
        <f t="shared" si="9"/>
        <v>0.5603200975</v>
      </c>
      <c r="AD5" s="26">
        <v>189747.6</v>
      </c>
      <c r="AE5" s="25">
        <f t="shared" si="10"/>
        <v>0.3431960597</v>
      </c>
      <c r="AF5" s="26">
        <v>-7280.11</v>
      </c>
      <c r="AG5" s="26">
        <v>0.0</v>
      </c>
      <c r="AH5" s="27">
        <v>-3097.92</v>
      </c>
      <c r="AI5" s="26">
        <v>12722.4</v>
      </c>
      <c r="AJ5" s="25">
        <f t="shared" si="11"/>
        <v>0.02301097643</v>
      </c>
      <c r="AK5" s="26" t="str">
        <f t="shared" si="12"/>
        <v>#REF!</v>
      </c>
      <c r="AL5" s="26">
        <v>552883.97</v>
      </c>
      <c r="AM5" s="27">
        <v>0.0</v>
      </c>
      <c r="AN5" s="27" t="str">
        <f t="shared" si="13"/>
        <v>#REF!</v>
      </c>
      <c r="AO5" s="27">
        <v>42372.39</v>
      </c>
      <c r="AP5" s="27">
        <v>-14579.21</v>
      </c>
      <c r="AQ5" s="27">
        <v>-1604.16</v>
      </c>
      <c r="AR5" s="27">
        <v>0.0</v>
      </c>
      <c r="AS5" s="26"/>
      <c r="AT5" s="26">
        <v>339.75</v>
      </c>
      <c r="AU5" s="26">
        <v>26189.02</v>
      </c>
      <c r="AV5" s="26">
        <f t="shared" si="18"/>
        <v>26189.02</v>
      </c>
      <c r="AW5" s="26">
        <v>0.0</v>
      </c>
      <c r="AX5" s="27">
        <v>0.0</v>
      </c>
      <c r="AY5" s="26" t="str">
        <f t="shared" si="20"/>
        <v>#REF!</v>
      </c>
      <c r="AZ5" s="27">
        <v>0.0</v>
      </c>
      <c r="BA5" s="26">
        <v>0.0</v>
      </c>
      <c r="BB5" s="27" t="str">
        <f t="shared" si="19"/>
        <v>#REF!</v>
      </c>
      <c r="BC5" s="3" t="str">
        <f t="shared" si="14"/>
        <v>#REF!</v>
      </c>
      <c r="BD5" s="26" t="str">
        <f t="shared" si="15"/>
        <v>#REF!</v>
      </c>
      <c r="BE5" s="26" t="str">
        <f t="shared" si="16"/>
        <v>#REF!</v>
      </c>
      <c r="BF5" s="3" t="str">
        <f t="shared" si="17"/>
        <v>#REF!</v>
      </c>
    </row>
    <row r="6">
      <c r="A6" s="3" t="s">
        <v>8</v>
      </c>
      <c r="B6" s="3" t="s">
        <v>70</v>
      </c>
      <c r="C6" s="3" t="s">
        <v>71</v>
      </c>
      <c r="D6" s="3" t="s">
        <v>72</v>
      </c>
      <c r="E6" s="3">
        <v>400.0</v>
      </c>
      <c r="F6" s="5">
        <v>301.0</v>
      </c>
      <c r="G6" s="3">
        <v>340.0</v>
      </c>
      <c r="H6" s="3">
        <v>0.988</v>
      </c>
      <c r="I6" s="3">
        <v>79746.0</v>
      </c>
      <c r="J6" s="25">
        <f>(I6-I2)/I2</f>
        <v>0.4771060236</v>
      </c>
      <c r="K6" s="3">
        <v>22026.0</v>
      </c>
      <c r="L6" s="24">
        <f t="shared" si="1"/>
        <v>0.2762019412</v>
      </c>
      <c r="M6" s="3">
        <v>29346.0</v>
      </c>
      <c r="N6" s="24">
        <f t="shared" si="2"/>
        <v>0.367993379</v>
      </c>
      <c r="O6" s="5">
        <v>26582.0</v>
      </c>
      <c r="P6" s="3">
        <v>22026.0</v>
      </c>
      <c r="Q6" s="3">
        <f t="shared" si="3"/>
        <v>28200</v>
      </c>
      <c r="R6" s="5">
        <f t="shared" si="4"/>
        <v>79568</v>
      </c>
      <c r="S6" s="5">
        <v>178.0</v>
      </c>
      <c r="T6" s="24">
        <f t="shared" si="5"/>
        <v>0.006312056738</v>
      </c>
      <c r="U6" s="5">
        <v>2547.0</v>
      </c>
      <c r="V6" s="24">
        <f t="shared" si="6"/>
        <v>0.09031914894</v>
      </c>
      <c r="W6" s="5">
        <v>25653.0</v>
      </c>
      <c r="X6" s="25">
        <f t="shared" si="7"/>
        <v>0.9096808511</v>
      </c>
      <c r="Y6" s="26">
        <v>51000.0</v>
      </c>
      <c r="Z6" s="25">
        <f t="shared" si="8"/>
        <v>0.08958104631</v>
      </c>
      <c r="AA6" s="26">
        <v>0.0</v>
      </c>
      <c r="AB6" s="26">
        <v>318984.0</v>
      </c>
      <c r="AC6" s="25">
        <f t="shared" si="9"/>
        <v>0.5602925583</v>
      </c>
      <c r="AD6" s="26">
        <v>195377.7</v>
      </c>
      <c r="AE6" s="25">
        <f t="shared" si="10"/>
        <v>0.343179192</v>
      </c>
      <c r="AF6" s="26">
        <v>-6060.7</v>
      </c>
      <c r="AG6" s="26">
        <v>0.0</v>
      </c>
      <c r="AH6" s="27">
        <v>-3189.84</v>
      </c>
      <c r="AI6" s="26">
        <v>13205.7</v>
      </c>
      <c r="AJ6" s="25">
        <f t="shared" si="11"/>
        <v>0.02319569457</v>
      </c>
      <c r="AK6" s="26" t="str">
        <f t="shared" si="12"/>
        <v>#REF!</v>
      </c>
      <c r="AL6" s="26">
        <v>569316.86</v>
      </c>
      <c r="AM6" s="27">
        <v>0.0</v>
      </c>
      <c r="AN6" s="27" t="str">
        <f t="shared" si="13"/>
        <v>#REF!</v>
      </c>
      <c r="AO6" s="27">
        <v>28218.42</v>
      </c>
      <c r="AP6" s="27">
        <v>-5730.5</v>
      </c>
      <c r="AQ6" s="27">
        <v>-1150.39</v>
      </c>
      <c r="AR6" s="27">
        <v>0.0</v>
      </c>
      <c r="AS6" s="26"/>
      <c r="AT6" s="26">
        <v>0.0</v>
      </c>
      <c r="AU6" s="26">
        <v>21337.53</v>
      </c>
      <c r="AV6" s="26">
        <f t="shared" si="18"/>
        <v>21337.53</v>
      </c>
      <c r="AW6" s="26">
        <v>0.0</v>
      </c>
      <c r="AX6" s="27">
        <v>0.0</v>
      </c>
      <c r="AY6" s="26" t="str">
        <f t="shared" si="20"/>
        <v>#REF!</v>
      </c>
      <c r="AZ6" s="27">
        <v>0.0</v>
      </c>
      <c r="BA6" s="26">
        <v>0.0</v>
      </c>
      <c r="BB6" s="27" t="str">
        <f t="shared" si="19"/>
        <v>#REF!</v>
      </c>
      <c r="BC6" s="3" t="str">
        <f t="shared" si="14"/>
        <v>#REF!</v>
      </c>
      <c r="BD6" s="26" t="str">
        <f t="shared" si="15"/>
        <v>#REF!</v>
      </c>
      <c r="BE6" s="26" t="str">
        <f t="shared" si="16"/>
        <v>#REF!</v>
      </c>
      <c r="BF6" s="3" t="str">
        <f t="shared" si="17"/>
        <v>#REF!</v>
      </c>
    </row>
    <row r="7">
      <c r="A7" s="3" t="s">
        <v>9</v>
      </c>
      <c r="B7" s="3" t="s">
        <v>70</v>
      </c>
      <c r="C7" s="3" t="s">
        <v>71</v>
      </c>
      <c r="D7" s="3" t="s">
        <v>72</v>
      </c>
      <c r="E7" s="3">
        <v>400.0</v>
      </c>
      <c r="F7" s="5">
        <v>314.0</v>
      </c>
      <c r="G7" s="3">
        <v>340.0</v>
      </c>
      <c r="H7" s="3">
        <v>0.997</v>
      </c>
      <c r="I7" s="3">
        <v>80130.0</v>
      </c>
      <c r="J7" s="25">
        <f t="shared" ref="J7:J8" si="21">(I7-I8)/I8</f>
        <v>0.0407574813</v>
      </c>
      <c r="K7" s="3">
        <v>20016.0</v>
      </c>
      <c r="L7" s="24">
        <f t="shared" si="1"/>
        <v>0.2497940846</v>
      </c>
      <c r="M7" s="3">
        <v>28428.0</v>
      </c>
      <c r="N7" s="24">
        <f t="shared" si="2"/>
        <v>0.3547734931</v>
      </c>
      <c r="O7" s="5">
        <v>26710.0</v>
      </c>
      <c r="P7" s="3">
        <v>20016.0</v>
      </c>
      <c r="Q7" s="3">
        <f t="shared" si="3"/>
        <v>35760</v>
      </c>
      <c r="R7" s="5">
        <f t="shared" si="4"/>
        <v>79648</v>
      </c>
      <c r="S7" s="5">
        <v>482.0</v>
      </c>
      <c r="T7" s="24">
        <f t="shared" si="5"/>
        <v>0.0134787472</v>
      </c>
      <c r="U7" s="5">
        <v>3621.0</v>
      </c>
      <c r="V7" s="24">
        <f t="shared" si="6"/>
        <v>0.1012583893</v>
      </c>
      <c r="W7" s="5">
        <v>32139.0</v>
      </c>
      <c r="X7" s="25">
        <f t="shared" si="7"/>
        <v>0.8987416107</v>
      </c>
      <c r="Y7" s="26">
        <v>51000.0</v>
      </c>
      <c r="Z7" s="25">
        <f t="shared" si="8"/>
        <v>0.09141846285</v>
      </c>
      <c r="AA7" s="26">
        <v>0.0</v>
      </c>
      <c r="AB7" s="26">
        <v>320520.0</v>
      </c>
      <c r="AC7" s="25">
        <f t="shared" si="9"/>
        <v>0.5745381512</v>
      </c>
      <c r="AD7" s="26">
        <v>184299.0</v>
      </c>
      <c r="AE7" s="25">
        <f t="shared" si="10"/>
        <v>0.330359437</v>
      </c>
      <c r="AF7" s="26">
        <v>-7532.22</v>
      </c>
      <c r="AG7" s="26">
        <v>0.0</v>
      </c>
      <c r="AH7" s="27">
        <v>-3205.2</v>
      </c>
      <c r="AI7" s="26">
        <v>12792.6</v>
      </c>
      <c r="AJ7" s="25">
        <f t="shared" si="11"/>
        <v>0.02293097702</v>
      </c>
      <c r="AK7" s="26" t="str">
        <f t="shared" si="12"/>
        <v>#REF!</v>
      </c>
      <c r="AL7" s="26">
        <v>557874.18</v>
      </c>
      <c r="AM7" s="27">
        <v>0.0</v>
      </c>
      <c r="AN7" s="27" t="str">
        <f t="shared" si="13"/>
        <v>#REF!</v>
      </c>
      <c r="AO7" s="27">
        <v>35353.11</v>
      </c>
      <c r="AP7" s="27">
        <v>-8146.82</v>
      </c>
      <c r="AQ7" s="27">
        <v>-3048.56</v>
      </c>
      <c r="AR7" s="27">
        <v>0.0</v>
      </c>
      <c r="AS7" s="26"/>
      <c r="AT7" s="26">
        <v>0.0</v>
      </c>
      <c r="AU7" s="26">
        <v>6787.43</v>
      </c>
      <c r="AV7" s="26">
        <f t="shared" si="18"/>
        <v>6774.98</v>
      </c>
      <c r="AW7" s="27">
        <v>-17382.75</v>
      </c>
      <c r="AX7" s="27">
        <v>0.0</v>
      </c>
      <c r="AY7" s="26" t="str">
        <f t="shared" si="20"/>
        <v>#REF!</v>
      </c>
      <c r="AZ7" s="27">
        <v>0.0</v>
      </c>
      <c r="BA7" s="26">
        <v>0.0</v>
      </c>
      <c r="BB7" s="27" t="str">
        <f t="shared" si="19"/>
        <v>#REF!</v>
      </c>
      <c r="BC7" s="3" t="str">
        <f t="shared" si="14"/>
        <v>#REF!</v>
      </c>
      <c r="BD7" s="26" t="str">
        <f t="shared" si="15"/>
        <v>#REF!</v>
      </c>
      <c r="BE7" s="26" t="str">
        <f t="shared" si="16"/>
        <v>#REF!</v>
      </c>
      <c r="BF7" s="3" t="str">
        <f t="shared" si="17"/>
        <v>#REF!</v>
      </c>
    </row>
    <row r="8">
      <c r="A8" s="3" t="s">
        <v>10</v>
      </c>
      <c r="B8" s="3" t="s">
        <v>70</v>
      </c>
      <c r="C8" s="3" t="s">
        <v>71</v>
      </c>
      <c r="D8" s="3" t="s">
        <v>72</v>
      </c>
      <c r="E8" s="3">
        <v>400.0</v>
      </c>
      <c r="F8" s="5">
        <v>338.0</v>
      </c>
      <c r="G8" s="3">
        <v>340.0</v>
      </c>
      <c r="H8" s="3">
        <v>0.997</v>
      </c>
      <c r="I8" s="3">
        <v>76992.0</v>
      </c>
      <c r="J8" s="25">
        <f t="shared" si="21"/>
        <v>0.4121272147</v>
      </c>
      <c r="K8" s="3">
        <v>20286.0</v>
      </c>
      <c r="L8" s="24">
        <f t="shared" si="1"/>
        <v>0.2634819202</v>
      </c>
      <c r="M8" s="3">
        <v>27636.0</v>
      </c>
      <c r="N8" s="24">
        <f t="shared" si="2"/>
        <v>0.358946384</v>
      </c>
      <c r="O8" s="5">
        <v>25664.0</v>
      </c>
      <c r="P8" s="3">
        <v>20286.0</v>
      </c>
      <c r="Q8" s="3">
        <f t="shared" si="3"/>
        <v>25560</v>
      </c>
      <c r="R8" s="5">
        <f t="shared" si="4"/>
        <v>76648</v>
      </c>
      <c r="S8" s="5">
        <v>344.0</v>
      </c>
      <c r="T8" s="24">
        <f t="shared" si="5"/>
        <v>0.01345852895</v>
      </c>
      <c r="U8" s="5">
        <v>2391.0</v>
      </c>
      <c r="V8" s="24">
        <f t="shared" si="6"/>
        <v>0.09354460094</v>
      </c>
      <c r="W8" s="5">
        <v>23169.0</v>
      </c>
      <c r="X8" s="25">
        <f t="shared" si="7"/>
        <v>0.9064553991</v>
      </c>
      <c r="Y8" s="26">
        <v>51000.0</v>
      </c>
      <c r="Z8" s="25">
        <f t="shared" si="8"/>
        <v>0.0947657935</v>
      </c>
      <c r="AA8" s="26">
        <v>0.0</v>
      </c>
      <c r="AB8" s="26">
        <v>307968.0</v>
      </c>
      <c r="AC8" s="25">
        <f t="shared" si="9"/>
        <v>0.5722516057</v>
      </c>
      <c r="AD8" s="26">
        <v>177081.6</v>
      </c>
      <c r="AE8" s="25">
        <f t="shared" si="10"/>
        <v>0.3290446733</v>
      </c>
      <c r="AF8" s="26">
        <v>-7237.25</v>
      </c>
      <c r="AG8" s="26">
        <v>0.0</v>
      </c>
      <c r="AH8" s="27">
        <v>-3079.68</v>
      </c>
      <c r="AI8" s="26">
        <v>12436.2</v>
      </c>
      <c r="AJ8" s="25">
        <f t="shared" si="11"/>
        <v>0.02310836002</v>
      </c>
      <c r="AK8" s="26" t="str">
        <f t="shared" si="12"/>
        <v>#REF!</v>
      </c>
      <c r="AL8" s="26">
        <v>538168.8699999999</v>
      </c>
      <c r="AM8" s="27">
        <v>0.0</v>
      </c>
      <c r="AN8" s="27" t="str">
        <f t="shared" si="13"/>
        <v>#REF!</v>
      </c>
      <c r="AO8" s="27">
        <v>25485.48</v>
      </c>
      <c r="AP8" s="27">
        <v>-5380.61</v>
      </c>
      <c r="AQ8" s="27">
        <v>-2174.28</v>
      </c>
      <c r="AR8" s="27">
        <v>0.0</v>
      </c>
      <c r="AS8" s="26"/>
      <c r="AT8" s="26">
        <v>12.04</v>
      </c>
      <c r="AU8" s="26">
        <v>17930.59</v>
      </c>
      <c r="AV8" s="26">
        <f t="shared" si="18"/>
        <v>17930.59</v>
      </c>
      <c r="AW8" s="26">
        <v>0.0</v>
      </c>
      <c r="AX8" s="27">
        <v>0.0</v>
      </c>
      <c r="AY8" s="26" t="str">
        <f t="shared" si="20"/>
        <v>#REF!</v>
      </c>
      <c r="AZ8" s="27">
        <v>0.0</v>
      </c>
      <c r="BA8" s="26">
        <v>0.0</v>
      </c>
      <c r="BB8" s="27" t="str">
        <f t="shared" si="19"/>
        <v>#REF!</v>
      </c>
      <c r="BC8" s="3" t="str">
        <f t="shared" si="14"/>
        <v>#REF!</v>
      </c>
      <c r="BD8" s="26" t="str">
        <f t="shared" si="15"/>
        <v>#REF!</v>
      </c>
      <c r="BE8" s="26" t="str">
        <f t="shared" si="16"/>
        <v>#REF!</v>
      </c>
      <c r="BF8" s="3" t="str">
        <f t="shared" si="17"/>
        <v>#REF!</v>
      </c>
    </row>
    <row r="9">
      <c r="A9" s="3" t="s">
        <v>11</v>
      </c>
      <c r="B9" s="3" t="s">
        <v>70</v>
      </c>
      <c r="C9" s="3" t="s">
        <v>71</v>
      </c>
      <c r="D9" s="3" t="s">
        <v>72</v>
      </c>
      <c r="E9" s="3">
        <v>400.0</v>
      </c>
      <c r="F9" s="5">
        <v>329.0</v>
      </c>
      <c r="G9" s="3">
        <v>340.0</v>
      </c>
      <c r="H9" s="3">
        <v>0.996</v>
      </c>
      <c r="I9" s="3">
        <v>54522.0</v>
      </c>
      <c r="J9" s="25">
        <f>(I9-I3)/I3</f>
        <v>0.04496320147</v>
      </c>
      <c r="K9" s="3">
        <v>13032.0</v>
      </c>
      <c r="L9" s="24">
        <f t="shared" si="1"/>
        <v>0.2390227798</v>
      </c>
      <c r="M9" s="3">
        <v>19890.0</v>
      </c>
      <c r="N9" s="24">
        <f t="shared" si="2"/>
        <v>0.364806867</v>
      </c>
      <c r="O9" s="5">
        <v>18174.0</v>
      </c>
      <c r="P9" s="3">
        <v>13032.0</v>
      </c>
      <c r="Q9" s="3">
        <f t="shared" si="3"/>
        <v>28080</v>
      </c>
      <c r="R9" s="5">
        <f t="shared" si="4"/>
        <v>54336</v>
      </c>
      <c r="S9" s="5">
        <v>186.0</v>
      </c>
      <c r="T9" s="24">
        <f t="shared" si="5"/>
        <v>0.006623931624</v>
      </c>
      <c r="U9" s="5">
        <v>2285.0</v>
      </c>
      <c r="V9" s="24">
        <f t="shared" si="6"/>
        <v>0.08137464387</v>
      </c>
      <c r="W9" s="5">
        <v>25795.0</v>
      </c>
      <c r="X9" s="25">
        <f t="shared" si="7"/>
        <v>0.9186253561</v>
      </c>
      <c r="Y9" s="26">
        <v>51000.0</v>
      </c>
      <c r="Z9" s="25">
        <f t="shared" si="8"/>
        <v>0.1287091582</v>
      </c>
      <c r="AA9" s="26">
        <v>0.0</v>
      </c>
      <c r="AB9" s="26">
        <v>218088.0</v>
      </c>
      <c r="AC9" s="25">
        <f t="shared" si="9"/>
        <v>0.5503906449</v>
      </c>
      <c r="AD9" s="26">
        <v>125400.6</v>
      </c>
      <c r="AE9" s="25">
        <f t="shared" si="10"/>
        <v>0.3164746208</v>
      </c>
      <c r="AF9" s="26">
        <v>-5016.02</v>
      </c>
      <c r="AG9" s="26">
        <v>0.0</v>
      </c>
      <c r="AH9" s="27">
        <v>-2180.88</v>
      </c>
      <c r="AI9" s="26">
        <v>8950.5</v>
      </c>
      <c r="AJ9" s="25">
        <f t="shared" si="11"/>
        <v>0.02258845726</v>
      </c>
      <c r="AK9" s="26" t="str">
        <f t="shared" si="12"/>
        <v>#REF!</v>
      </c>
      <c r="AL9" s="26">
        <v>396242.19999999995</v>
      </c>
      <c r="AM9" s="27">
        <v>0.0</v>
      </c>
      <c r="AN9" s="27" t="str">
        <f t="shared" si="13"/>
        <v>#REF!</v>
      </c>
      <c r="AO9" s="27">
        <v>28374.87</v>
      </c>
      <c r="AP9" s="27">
        <v>-5140.49</v>
      </c>
      <c r="AQ9" s="27">
        <v>-1180.98</v>
      </c>
      <c r="AR9" s="27">
        <v>0.0</v>
      </c>
      <c r="AS9" s="26"/>
      <c r="AT9" s="26">
        <v>0.0</v>
      </c>
      <c r="AU9" s="26">
        <v>22053.4</v>
      </c>
      <c r="AV9" s="26">
        <f t="shared" si="18"/>
        <v>22053.4</v>
      </c>
      <c r="AW9" s="26">
        <v>0.0</v>
      </c>
      <c r="AX9" s="27">
        <v>0.0</v>
      </c>
      <c r="AY9" s="26" t="str">
        <f t="shared" si="20"/>
        <v>#REF!</v>
      </c>
      <c r="AZ9" s="27">
        <v>0.0</v>
      </c>
      <c r="BA9" s="26">
        <v>0.0</v>
      </c>
      <c r="BB9" s="27" t="str">
        <f t="shared" si="19"/>
        <v>#REF!</v>
      </c>
      <c r="BC9" s="3" t="str">
        <f t="shared" si="14"/>
        <v>#REF!</v>
      </c>
      <c r="BD9" s="26" t="str">
        <f t="shared" si="15"/>
        <v>#REF!</v>
      </c>
      <c r="BE9" s="26" t="str">
        <f t="shared" si="16"/>
        <v>#REF!</v>
      </c>
      <c r="BF9" s="3" t="str">
        <f t="shared" si="17"/>
        <v>#REF!</v>
      </c>
    </row>
    <row r="10">
      <c r="A10" s="3" t="s">
        <v>12</v>
      </c>
      <c r="B10" s="3" t="s">
        <v>70</v>
      </c>
      <c r="C10" s="3" t="s">
        <v>71</v>
      </c>
      <c r="D10" s="3" t="s">
        <v>72</v>
      </c>
      <c r="E10" s="3">
        <v>400.0</v>
      </c>
      <c r="F10" s="5">
        <v>329.0</v>
      </c>
      <c r="G10" s="3">
        <v>340.0</v>
      </c>
      <c r="H10" s="3">
        <v>0.998</v>
      </c>
      <c r="I10" s="3">
        <v>70902.0</v>
      </c>
      <c r="J10" s="25">
        <f>(I10-I6)/I6</f>
        <v>-0.1109021142</v>
      </c>
      <c r="K10" s="3">
        <v>20160.0</v>
      </c>
      <c r="L10" s="24">
        <f t="shared" si="1"/>
        <v>0.2843361259</v>
      </c>
      <c r="M10" s="3">
        <v>25344.0</v>
      </c>
      <c r="N10" s="24">
        <f t="shared" si="2"/>
        <v>0.3574511297</v>
      </c>
      <c r="O10" s="5">
        <v>23634.0</v>
      </c>
      <c r="P10" s="3">
        <v>20160.0</v>
      </c>
      <c r="Q10" s="3">
        <f t="shared" si="3"/>
        <v>31680</v>
      </c>
      <c r="R10" s="5">
        <f t="shared" si="4"/>
        <v>70451</v>
      </c>
      <c r="S10" s="5">
        <v>451.0</v>
      </c>
      <c r="T10" s="24">
        <f t="shared" si="5"/>
        <v>0.01423611111</v>
      </c>
      <c r="U10" s="5">
        <v>8304.0</v>
      </c>
      <c r="V10" s="24">
        <f t="shared" si="6"/>
        <v>0.2621212121</v>
      </c>
      <c r="W10" s="5">
        <v>23376.0</v>
      </c>
      <c r="X10" s="25">
        <f t="shared" si="7"/>
        <v>0.7378787879</v>
      </c>
      <c r="Y10" s="26">
        <v>51000.0</v>
      </c>
      <c r="Z10" s="25">
        <f t="shared" si="8"/>
        <v>0.102113401</v>
      </c>
      <c r="AA10" s="26">
        <v>0.0</v>
      </c>
      <c r="AB10" s="26">
        <v>283608.0</v>
      </c>
      <c r="AC10" s="25">
        <f t="shared" si="9"/>
        <v>0.5678466164</v>
      </c>
      <c r="AD10" s="26">
        <v>163074.6</v>
      </c>
      <c r="AE10" s="25">
        <f t="shared" si="10"/>
        <v>0.3265118044</v>
      </c>
      <c r="AF10" s="26">
        <v>-6806.59</v>
      </c>
      <c r="AG10" s="26">
        <v>0.0</v>
      </c>
      <c r="AH10" s="27">
        <v>-2836.08</v>
      </c>
      <c r="AI10" s="26">
        <v>11404.8</v>
      </c>
      <c r="AJ10" s="25">
        <f t="shared" si="11"/>
        <v>0.02283495914</v>
      </c>
      <c r="AK10" s="26" t="str">
        <f t="shared" si="12"/>
        <v>#REF!</v>
      </c>
      <c r="AL10" s="26">
        <v>499444.7299999999</v>
      </c>
      <c r="AM10" s="27">
        <v>0.0</v>
      </c>
      <c r="AN10" s="27" t="str">
        <f t="shared" si="13"/>
        <v>#REF!</v>
      </c>
      <c r="AO10" s="27">
        <v>25713.67</v>
      </c>
      <c r="AP10" s="27">
        <v>-18683.87</v>
      </c>
      <c r="AQ10" s="27">
        <v>-2840.06</v>
      </c>
      <c r="AR10" s="27">
        <v>0.0</v>
      </c>
      <c r="AS10" s="26"/>
      <c r="AT10" s="26">
        <v>0.0</v>
      </c>
      <c r="AU10" s="26">
        <v>4189.74</v>
      </c>
      <c r="AV10" s="26">
        <f t="shared" si="18"/>
        <v>4189.74</v>
      </c>
      <c r="AW10" s="26">
        <v>0.0</v>
      </c>
      <c r="AX10" s="27">
        <v>0.0</v>
      </c>
      <c r="AY10" s="26" t="str">
        <f t="shared" si="20"/>
        <v>#REF!</v>
      </c>
      <c r="AZ10" s="27">
        <v>0.0</v>
      </c>
      <c r="BA10" s="26">
        <v>0.0</v>
      </c>
      <c r="BB10" s="27" t="str">
        <f t="shared" si="19"/>
        <v>#REF!</v>
      </c>
      <c r="BC10" s="3" t="str">
        <f t="shared" si="14"/>
        <v>#REF!</v>
      </c>
      <c r="BD10" s="26" t="str">
        <f t="shared" si="15"/>
        <v>#REF!</v>
      </c>
      <c r="BE10" s="26" t="str">
        <f t="shared" si="16"/>
        <v>#REF!</v>
      </c>
      <c r="BF10" s="3" t="str">
        <f t="shared" si="17"/>
        <v>#REF!</v>
      </c>
    </row>
    <row r="11">
      <c r="A11" s="3" t="s">
        <v>13</v>
      </c>
      <c r="B11" s="3" t="s">
        <v>70</v>
      </c>
      <c r="C11" s="3" t="s">
        <v>71</v>
      </c>
      <c r="D11" s="3" t="s">
        <v>72</v>
      </c>
      <c r="E11" s="3">
        <v>400.0</v>
      </c>
      <c r="F11" s="5">
        <v>265.0</v>
      </c>
      <c r="G11" s="3">
        <v>340.0</v>
      </c>
      <c r="H11" s="3">
        <v>0.998</v>
      </c>
      <c r="I11" s="3">
        <v>69870.0</v>
      </c>
      <c r="J11" s="25">
        <f>(I11-I12)/I12</f>
        <v>0.07465854559</v>
      </c>
      <c r="K11" s="3">
        <v>19512.0</v>
      </c>
      <c r="L11" s="24">
        <f t="shared" si="1"/>
        <v>0.2792614856</v>
      </c>
      <c r="M11" s="3">
        <v>25968.0</v>
      </c>
      <c r="N11" s="24">
        <f t="shared" si="2"/>
        <v>0.3716616574</v>
      </c>
      <c r="O11" s="5">
        <v>23290.0</v>
      </c>
      <c r="P11" s="3">
        <v>19512.0</v>
      </c>
      <c r="Q11" s="3">
        <f t="shared" si="3"/>
        <v>26760</v>
      </c>
      <c r="R11" s="5">
        <f t="shared" si="4"/>
        <v>69717</v>
      </c>
      <c r="S11" s="5">
        <v>153.0</v>
      </c>
      <c r="T11" s="24">
        <f t="shared" si="5"/>
        <v>0.005717488789</v>
      </c>
      <c r="U11" s="5">
        <v>2586.0</v>
      </c>
      <c r="V11" s="24">
        <f t="shared" si="6"/>
        <v>0.0966367713</v>
      </c>
      <c r="W11" s="5">
        <v>24174.0</v>
      </c>
      <c r="X11" s="25">
        <f t="shared" si="7"/>
        <v>0.9033632287</v>
      </c>
      <c r="Y11" s="26">
        <v>51000.0</v>
      </c>
      <c r="Z11" s="25">
        <f t="shared" si="8"/>
        <v>0.1033718939</v>
      </c>
      <c r="AA11" s="26">
        <v>0.0</v>
      </c>
      <c r="AB11" s="26">
        <v>279480.0</v>
      </c>
      <c r="AC11" s="25">
        <f t="shared" si="9"/>
        <v>0.5664779785</v>
      </c>
      <c r="AD11" s="26">
        <v>160701.0</v>
      </c>
      <c r="AE11" s="25">
        <f t="shared" si="10"/>
        <v>0.3257248376</v>
      </c>
      <c r="AF11" s="26">
        <v>-6707.52</v>
      </c>
      <c r="AG11" s="26">
        <v>0.0</v>
      </c>
      <c r="AH11" s="27">
        <v>-2794.8</v>
      </c>
      <c r="AI11" s="26">
        <v>11685.6</v>
      </c>
      <c r="AJ11" s="25">
        <f t="shared" si="11"/>
        <v>0.02368554124</v>
      </c>
      <c r="AK11" s="26" t="str">
        <f t="shared" si="12"/>
        <v>#REF!</v>
      </c>
      <c r="AL11" s="26">
        <v>493364.27999999997</v>
      </c>
      <c r="AM11" s="27">
        <v>0.0</v>
      </c>
      <c r="AN11" s="27" t="str">
        <f t="shared" si="13"/>
        <v>#REF!</v>
      </c>
      <c r="AO11" s="27">
        <v>26591.17</v>
      </c>
      <c r="AP11" s="27">
        <v>-5818.97</v>
      </c>
      <c r="AQ11" s="27">
        <v>-964.38</v>
      </c>
      <c r="AR11" s="27">
        <v>0.0</v>
      </c>
      <c r="AS11" s="26"/>
      <c r="AT11" s="26">
        <v>1374.84</v>
      </c>
      <c r="AU11" s="26">
        <v>19807.82</v>
      </c>
      <c r="AV11" s="26">
        <f t="shared" si="18"/>
        <v>19807.82</v>
      </c>
      <c r="AW11" s="26">
        <v>0.0</v>
      </c>
      <c r="AX11" s="27">
        <v>0.0</v>
      </c>
      <c r="AY11" s="26" t="str">
        <f t="shared" si="20"/>
        <v>#REF!</v>
      </c>
      <c r="AZ11" s="27">
        <v>0.0</v>
      </c>
      <c r="BA11" s="26">
        <v>0.0</v>
      </c>
      <c r="BB11" s="27" t="str">
        <f t="shared" si="19"/>
        <v>#REF!</v>
      </c>
      <c r="BC11" s="3" t="str">
        <f t="shared" si="14"/>
        <v>#REF!</v>
      </c>
      <c r="BD11" s="26" t="str">
        <f t="shared" si="15"/>
        <v>#REF!</v>
      </c>
      <c r="BE11" s="26" t="str">
        <f t="shared" si="16"/>
        <v>#REF!</v>
      </c>
      <c r="BF11" s="3" t="str">
        <f t="shared" si="17"/>
        <v>#REF!</v>
      </c>
    </row>
    <row r="12">
      <c r="A12" s="3" t="s">
        <v>14</v>
      </c>
      <c r="B12" s="3" t="s">
        <v>70</v>
      </c>
      <c r="C12" s="3" t="s">
        <v>71</v>
      </c>
      <c r="D12" s="3" t="s">
        <v>72</v>
      </c>
      <c r="E12" s="3">
        <v>400.0</v>
      </c>
      <c r="F12" s="5">
        <v>296.0</v>
      </c>
      <c r="G12" s="3">
        <v>340.0</v>
      </c>
      <c r="H12" s="3">
        <v>0.998</v>
      </c>
      <c r="I12" s="3">
        <v>65016.0</v>
      </c>
      <c r="J12" s="25">
        <f>(I12-I10)/I10</f>
        <v>-0.08301599391</v>
      </c>
      <c r="K12" s="3">
        <v>17850.0</v>
      </c>
      <c r="L12" s="24">
        <f t="shared" si="1"/>
        <v>0.2745478036</v>
      </c>
      <c r="M12" s="3">
        <v>25032.0</v>
      </c>
      <c r="N12" s="24">
        <f t="shared" si="2"/>
        <v>0.3850129199</v>
      </c>
      <c r="O12" s="5">
        <v>21672.0</v>
      </c>
      <c r="P12" s="3">
        <v>17850.0</v>
      </c>
      <c r="Q12" s="3">
        <f t="shared" si="3"/>
        <v>26039</v>
      </c>
      <c r="R12" s="5">
        <f t="shared" si="4"/>
        <v>64864</v>
      </c>
      <c r="S12" s="5">
        <v>152.0</v>
      </c>
      <c r="T12" s="24">
        <f t="shared" si="5"/>
        <v>0.00583739775</v>
      </c>
      <c r="U12" s="5">
        <v>2586.0</v>
      </c>
      <c r="V12" s="24">
        <f t="shared" si="6"/>
        <v>0.09931256961</v>
      </c>
      <c r="W12" s="5">
        <v>23453.0</v>
      </c>
      <c r="X12" s="25">
        <f t="shared" si="7"/>
        <v>0.9006874304</v>
      </c>
      <c r="Y12" s="26">
        <v>51000.0</v>
      </c>
      <c r="Z12" s="25">
        <f t="shared" si="8"/>
        <v>0.1101457115</v>
      </c>
      <c r="AA12" s="26">
        <v>0.0</v>
      </c>
      <c r="AB12" s="26">
        <v>260064.0</v>
      </c>
      <c r="AC12" s="25">
        <f t="shared" si="9"/>
        <v>0.561665379</v>
      </c>
      <c r="AD12" s="26">
        <v>149536.8</v>
      </c>
      <c r="AE12" s="25">
        <f t="shared" si="10"/>
        <v>0.3229575929</v>
      </c>
      <c r="AF12" s="26">
        <v>-6241.54</v>
      </c>
      <c r="AG12" s="26">
        <v>0.0</v>
      </c>
      <c r="AH12" s="27">
        <v>-2600.64</v>
      </c>
      <c r="AI12" s="26">
        <v>11264.4</v>
      </c>
      <c r="AJ12" s="25">
        <f t="shared" si="11"/>
        <v>0.0243279481</v>
      </c>
      <c r="AK12" s="26" t="str">
        <f t="shared" si="12"/>
        <v>#REF!</v>
      </c>
      <c r="AL12" s="26">
        <v>463023.02</v>
      </c>
      <c r="AM12" s="27">
        <v>0.0</v>
      </c>
      <c r="AN12" s="27" t="str">
        <f t="shared" si="13"/>
        <v>#REF!</v>
      </c>
      <c r="AO12" s="27">
        <v>25798.0</v>
      </c>
      <c r="AP12" s="27">
        <v>-5818.0</v>
      </c>
      <c r="AQ12" s="27">
        <v>-957.0</v>
      </c>
      <c r="AR12" s="27">
        <v>0.0</v>
      </c>
      <c r="AS12" s="26"/>
      <c r="AT12" s="26">
        <v>0.0</v>
      </c>
      <c r="AU12" s="26">
        <v>19023.0</v>
      </c>
      <c r="AV12" s="26">
        <f t="shared" si="18"/>
        <v>19023</v>
      </c>
      <c r="AW12" s="26">
        <v>0.0</v>
      </c>
      <c r="AX12" s="27">
        <v>0.0</v>
      </c>
      <c r="AY12" s="26" t="str">
        <f t="shared" si="20"/>
        <v>#REF!</v>
      </c>
      <c r="AZ12" s="27">
        <v>0.0</v>
      </c>
      <c r="BA12" s="26">
        <v>0.0</v>
      </c>
      <c r="BB12" s="27" t="str">
        <f t="shared" si="19"/>
        <v>#REF!</v>
      </c>
      <c r="BC12" s="3" t="str">
        <f t="shared" si="14"/>
        <v>#REF!</v>
      </c>
      <c r="BD12" s="26" t="str">
        <f t="shared" si="15"/>
        <v>#REF!</v>
      </c>
      <c r="BE12" s="26" t="str">
        <f t="shared" si="16"/>
        <v>#REF!</v>
      </c>
      <c r="BF12" s="3" t="str">
        <f t="shared" si="17"/>
        <v>#REF!</v>
      </c>
    </row>
    <row r="13">
      <c r="A13" s="3" t="s">
        <v>15</v>
      </c>
      <c r="B13" s="3" t="s">
        <v>70</v>
      </c>
      <c r="C13" s="3" t="s">
        <v>71</v>
      </c>
      <c r="D13" s="3" t="s">
        <v>72</v>
      </c>
      <c r="E13" s="3">
        <v>400.0</v>
      </c>
      <c r="F13" s="5">
        <v>270.0</v>
      </c>
      <c r="G13" s="3">
        <v>340.0</v>
      </c>
      <c r="H13" s="3">
        <v>0.997</v>
      </c>
      <c r="I13" s="3">
        <v>54972.0</v>
      </c>
      <c r="J13" s="25">
        <f>(I13-I4)/I4</f>
        <v>-0.1784433286</v>
      </c>
      <c r="K13" s="3">
        <v>16434.0</v>
      </c>
      <c r="L13" s="24">
        <f t="shared" si="1"/>
        <v>0.2989521938</v>
      </c>
      <c r="M13" s="3">
        <v>20970.0</v>
      </c>
      <c r="N13" s="24">
        <f t="shared" si="2"/>
        <v>0.3814669286</v>
      </c>
      <c r="O13" s="5">
        <v>18324.0</v>
      </c>
      <c r="P13" s="3">
        <v>16434.0</v>
      </c>
      <c r="Q13" s="3">
        <f t="shared" si="3"/>
        <v>55919</v>
      </c>
      <c r="R13" s="5">
        <f t="shared" si="4"/>
        <v>54889</v>
      </c>
      <c r="S13" s="5">
        <v>83.0</v>
      </c>
      <c r="T13" s="24">
        <f t="shared" si="5"/>
        <v>0.001484289776</v>
      </c>
      <c r="U13" s="5">
        <v>4951.0</v>
      </c>
      <c r="V13" s="24">
        <f t="shared" si="6"/>
        <v>0.08853877931</v>
      </c>
      <c r="W13" s="5">
        <v>50968.0</v>
      </c>
      <c r="X13" s="25">
        <f t="shared" si="7"/>
        <v>0.9114612207</v>
      </c>
      <c r="Y13" s="26">
        <v>51000.0</v>
      </c>
      <c r="Z13" s="25">
        <f t="shared" si="8"/>
        <v>0.1276935035</v>
      </c>
      <c r="AA13" s="26">
        <v>0.0</v>
      </c>
      <c r="AB13" s="26">
        <v>219888.0</v>
      </c>
      <c r="AC13" s="25">
        <f t="shared" si="9"/>
        <v>0.5505542962</v>
      </c>
      <c r="AD13" s="26">
        <v>126435.6</v>
      </c>
      <c r="AE13" s="25">
        <f t="shared" si="10"/>
        <v>0.3165687203</v>
      </c>
      <c r="AF13" s="26">
        <v>-5167.37</v>
      </c>
      <c r="AG13" s="26">
        <v>0.0</v>
      </c>
      <c r="AH13" s="27">
        <v>-2198.88</v>
      </c>
      <c r="AI13" s="26">
        <v>9436.5</v>
      </c>
      <c r="AJ13" s="25">
        <f t="shared" si="11"/>
        <v>0.02362705385</v>
      </c>
      <c r="AK13" s="26" t="str">
        <f t="shared" si="12"/>
        <v>#REF!</v>
      </c>
      <c r="AL13" s="26">
        <v>399393.85</v>
      </c>
      <c r="AM13" s="27">
        <v>0.0</v>
      </c>
      <c r="AN13" s="27" t="str">
        <f t="shared" si="13"/>
        <v>#REF!</v>
      </c>
      <c r="AO13" s="27">
        <v>56064.0</v>
      </c>
      <c r="AP13" s="27">
        <v>-11139.0</v>
      </c>
      <c r="AQ13" s="27">
        <v>-522.0</v>
      </c>
      <c r="AR13" s="27">
        <v>0.0</v>
      </c>
      <c r="AS13" s="26"/>
      <c r="AT13" s="26">
        <v>0.0</v>
      </c>
      <c r="AU13" s="26">
        <v>44403.0</v>
      </c>
      <c r="AV13" s="26">
        <f t="shared" si="18"/>
        <v>44403</v>
      </c>
      <c r="AW13" s="26">
        <v>0.0</v>
      </c>
      <c r="AX13" s="27">
        <v>0.0</v>
      </c>
      <c r="AY13" s="26" t="str">
        <f t="shared" si="20"/>
        <v>#REF!</v>
      </c>
      <c r="AZ13" s="27">
        <v>0.0</v>
      </c>
      <c r="BA13" s="26">
        <v>0.0</v>
      </c>
      <c r="BB13" s="27" t="str">
        <f t="shared" si="19"/>
        <v>#REF!</v>
      </c>
      <c r="BC13" s="3" t="str">
        <f t="shared" si="14"/>
        <v>#REF!</v>
      </c>
      <c r="BD13" s="26" t="str">
        <f t="shared" si="15"/>
        <v>#REF!</v>
      </c>
      <c r="BE13" s="26" t="str">
        <f t="shared" si="16"/>
        <v>#REF!</v>
      </c>
      <c r="BF13" s="3" t="str">
        <f t="shared" si="17"/>
        <v>#REF!</v>
      </c>
    </row>
    <row r="14">
      <c r="I14" s="28">
        <f>AVERAGE(I2:I13)</f>
        <v>66889.5</v>
      </c>
      <c r="K14" s="29">
        <f t="shared" ref="K14:O14" si="22">AVERAGE(K2:K13)</f>
        <v>18987</v>
      </c>
      <c r="L14" s="30">
        <f t="shared" si="22"/>
        <v>0.287309885</v>
      </c>
      <c r="M14" s="29">
        <f t="shared" si="22"/>
        <v>24375</v>
      </c>
      <c r="N14" s="31">
        <f t="shared" si="22"/>
        <v>0.3644843157</v>
      </c>
      <c r="O14" s="29">
        <f t="shared" si="22"/>
        <v>22296.5</v>
      </c>
      <c r="Q14" s="3">
        <f>R14+S14+U14</f>
        <v>0</v>
      </c>
      <c r="T14" s="31">
        <f>AVERAGE(T2:T13)</f>
        <v>0.01053655102</v>
      </c>
      <c r="V14" s="31">
        <f t="shared" ref="V14:X14" si="23">AVERAGE(V2:V13)</f>
        <v>0.1239006832</v>
      </c>
      <c r="W14" s="32">
        <f t="shared" si="23"/>
        <v>34365.83333</v>
      </c>
      <c r="X14" s="31">
        <f t="shared" si="23"/>
        <v>0.8760993168</v>
      </c>
      <c r="Y14" s="33">
        <f>SUM(Y2:Y13)</f>
        <v>613500</v>
      </c>
      <c r="Z14" s="31">
        <f>AVERAGE(Z2:Z13)</f>
        <v>0.1088255056</v>
      </c>
      <c r="AB14" s="33">
        <f>SUM(AB2:AB13)</f>
        <v>3210696</v>
      </c>
      <c r="AC14" s="31">
        <f>AVERAGE(AC2:AC13)</f>
        <v>0.5573496048</v>
      </c>
      <c r="AD14" s="33">
        <f>SUM(AD2:AD13)</f>
        <v>1895690.7</v>
      </c>
      <c r="AE14" s="31">
        <f>AVERAGE(AE2:AE13)</f>
        <v>0.3290524934</v>
      </c>
      <c r="AF14" s="26">
        <f>SUM(AF2:AF13)</f>
        <v>-74422.82</v>
      </c>
      <c r="AH14" s="33">
        <f t="shared" ref="AH14:AI14" si="24">SUM(AH2:AH13)</f>
        <v>-29947.44</v>
      </c>
      <c r="AI14" s="33">
        <f t="shared" si="24"/>
        <v>131625</v>
      </c>
      <c r="AJ14" s="31">
        <f>AVERAGE(AJ2:AJ13)</f>
        <v>0.02285624482</v>
      </c>
      <c r="AK14" s="34" t="str">
        <f t="shared" ref="AK14:AL14" si="25">SUM(AK2:AK13)</f>
        <v>#REF!</v>
      </c>
      <c r="AL14" s="33">
        <f t="shared" si="25"/>
        <v>5747141.44</v>
      </c>
      <c r="AO14" s="33">
        <f>SUM(AO2:AO13)</f>
        <v>453628</v>
      </c>
      <c r="AU14" s="26">
        <f t="shared" ref="AU14:AV14" si="26">SUM(AU2:AU13)</f>
        <v>141080.74</v>
      </c>
      <c r="AV14" s="26">
        <f t="shared" si="26"/>
        <v>141068.97</v>
      </c>
      <c r="AY14" s="29" t="str">
        <f>AVERAGE(AY2:AY13)</f>
        <v>#REF!</v>
      </c>
      <c r="BB14" s="34" t="str">
        <f>SUM(BB2:BB13)</f>
        <v>#REF!</v>
      </c>
      <c r="BC14" s="35" t="str">
        <f>AVERAGE(BC2:BC13)</f>
        <v>#REF!</v>
      </c>
      <c r="BD14" s="36"/>
      <c r="BE14" s="36"/>
      <c r="BF14" s="36" t="str">
        <f>AVERAGE(BF2:BF13)</f>
        <v>#REF!</v>
      </c>
    </row>
    <row r="15">
      <c r="I15" s="34">
        <f>sum(I2:I13)</f>
        <v>802674</v>
      </c>
      <c r="K15" s="34">
        <f>sum(K2:K13)</f>
        <v>227844</v>
      </c>
      <c r="M15" s="34">
        <f>sum(M2:M13)</f>
        <v>292500</v>
      </c>
      <c r="O15" s="34">
        <f>sum(O2:O13)</f>
        <v>267558</v>
      </c>
      <c r="AO15" s="26">
        <f t="shared" ref="AO15:AO26" si="27">AO2/W2</f>
        <v>1.099999089</v>
      </c>
      <c r="AP15" s="26">
        <f t="shared" ref="AP15:AP26" si="28">AP2/U2</f>
        <v>-2.250013992</v>
      </c>
      <c r="AQ15" s="26">
        <f t="shared" ref="AQ15:AQ26" si="29">AQ2/S2</f>
        <v>-6.46749409</v>
      </c>
    </row>
    <row r="16">
      <c r="K16" s="25">
        <f>K15/I15</f>
        <v>0.2838562106</v>
      </c>
      <c r="M16" s="25">
        <f>M15/I15</f>
        <v>0.3644069697</v>
      </c>
      <c r="X16" s="26"/>
      <c r="Y16" s="26"/>
      <c r="AA16" s="26"/>
      <c r="AB16" s="26"/>
      <c r="AD16" s="26"/>
      <c r="AF16" s="26"/>
      <c r="AG16" s="26"/>
      <c r="AH16" s="26"/>
      <c r="AI16" s="26"/>
      <c r="AK16" s="26"/>
      <c r="AL16" s="26"/>
      <c r="AM16" s="26"/>
      <c r="AN16" s="26"/>
      <c r="AO16" s="26">
        <f t="shared" si="27"/>
        <v>1.099994401</v>
      </c>
      <c r="AP16" s="26">
        <f t="shared" si="28"/>
        <v>-2.250007643</v>
      </c>
      <c r="AQ16" s="26">
        <f t="shared" si="29"/>
        <v>-6.460621739</v>
      </c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</row>
    <row r="17">
      <c r="H17" s="5" t="s">
        <v>73</v>
      </c>
      <c r="I17" s="34">
        <f>I15-K15-M15</f>
        <v>282330</v>
      </c>
      <c r="AO17" s="26">
        <f t="shared" si="27"/>
        <v>1.10000049</v>
      </c>
      <c r="AP17" s="26">
        <f t="shared" si="28"/>
        <v>-2.249990512</v>
      </c>
      <c r="AQ17" s="26">
        <f t="shared" si="29"/>
        <v>-6.475110821</v>
      </c>
    </row>
    <row r="18">
      <c r="I18" s="25">
        <f>I17/I15</f>
        <v>0.3517368197</v>
      </c>
      <c r="K18" s="5" t="s">
        <v>74</v>
      </c>
      <c r="O18" s="37">
        <f>I15-K15</f>
        <v>574830</v>
      </c>
      <c r="AO18" s="26">
        <f t="shared" si="27"/>
        <v>1.100010125</v>
      </c>
      <c r="AP18" s="26">
        <f t="shared" si="28"/>
        <v>-2.249878086</v>
      </c>
      <c r="AQ18" s="26">
        <f t="shared" si="29"/>
        <v>-6.52097561</v>
      </c>
    </row>
    <row r="19">
      <c r="K19" s="5" t="s">
        <v>75</v>
      </c>
      <c r="O19" s="38">
        <f>I14-K14</f>
        <v>47902.5</v>
      </c>
      <c r="AO19" s="26">
        <f t="shared" si="27"/>
        <v>1.100004678</v>
      </c>
      <c r="AP19" s="26">
        <f t="shared" si="28"/>
        <v>-2.249901845</v>
      </c>
      <c r="AQ19" s="26">
        <f t="shared" si="29"/>
        <v>-6.462865169</v>
      </c>
    </row>
    <row r="20">
      <c r="AJ20" s="39" t="s">
        <v>76</v>
      </c>
      <c r="AK20" s="40" t="s">
        <v>77</v>
      </c>
      <c r="AL20" s="40" t="s">
        <v>78</v>
      </c>
      <c r="AM20" s="40" t="s">
        <v>79</v>
      </c>
      <c r="AN20" s="41" t="s">
        <v>80</v>
      </c>
      <c r="AO20" s="26">
        <f t="shared" si="27"/>
        <v>1.100006534</v>
      </c>
      <c r="AP20" s="26">
        <f t="shared" si="28"/>
        <v>-2.249881248</v>
      </c>
      <c r="AQ20" s="26">
        <f t="shared" si="29"/>
        <v>-6.324813278</v>
      </c>
    </row>
    <row r="21">
      <c r="AJ21" s="42" t="s">
        <v>81</v>
      </c>
      <c r="AK21" s="43">
        <f>M15</f>
        <v>292500</v>
      </c>
      <c r="AL21" s="42">
        <v>5.5</v>
      </c>
      <c r="AM21" s="43">
        <f t="shared" ref="AM21:AM23" si="30">AK21*AL21</f>
        <v>1608750</v>
      </c>
      <c r="AN21" s="44" t="str">
        <f>AM21/AK14</f>
        <v>#REF!</v>
      </c>
      <c r="AO21" s="26">
        <f t="shared" si="27"/>
        <v>1.099981872</v>
      </c>
      <c r="AP21" s="26">
        <f t="shared" si="28"/>
        <v>-2.250359682</v>
      </c>
      <c r="AQ21" s="26">
        <f t="shared" si="29"/>
        <v>-6.320581395</v>
      </c>
    </row>
    <row r="22">
      <c r="AJ22" s="42" t="s">
        <v>82</v>
      </c>
      <c r="AK22" s="43">
        <f>I17</f>
        <v>282330</v>
      </c>
      <c r="AL22" s="42">
        <v>4.5</v>
      </c>
      <c r="AM22" s="43">
        <f t="shared" si="30"/>
        <v>1270485</v>
      </c>
      <c r="AN22" s="44" t="str">
        <f>AM22/AK14</f>
        <v>#REF!</v>
      </c>
      <c r="AO22" s="26">
        <f t="shared" si="27"/>
        <v>1.100014344</v>
      </c>
      <c r="AP22" s="26">
        <f t="shared" si="28"/>
        <v>-2.249667396</v>
      </c>
      <c r="AQ22" s="26">
        <f t="shared" si="29"/>
        <v>-6.349354839</v>
      </c>
    </row>
    <row r="23" ht="15.75" customHeight="1">
      <c r="AJ23" s="42" t="s">
        <v>83</v>
      </c>
      <c r="AK23" s="43">
        <f>K15</f>
        <v>227844</v>
      </c>
      <c r="AL23" s="42">
        <v>4.2</v>
      </c>
      <c r="AM23" s="43">
        <f t="shared" si="30"/>
        <v>956944.8</v>
      </c>
      <c r="AN23" s="44" t="str">
        <f>AM23/AK14</f>
        <v>#REF!</v>
      </c>
      <c r="AO23" s="26">
        <f t="shared" si="27"/>
        <v>1.100002995</v>
      </c>
      <c r="AP23" s="26">
        <f t="shared" si="28"/>
        <v>-2.249984345</v>
      </c>
      <c r="AQ23" s="26">
        <f t="shared" si="29"/>
        <v>-6.297250554</v>
      </c>
    </row>
    <row r="24" ht="15.75" customHeight="1">
      <c r="AO24" s="26">
        <f t="shared" si="27"/>
        <v>1.099990486</v>
      </c>
      <c r="AP24" s="26">
        <f t="shared" si="28"/>
        <v>-2.250181748</v>
      </c>
      <c r="AQ24" s="26">
        <f t="shared" si="29"/>
        <v>-6.303137255</v>
      </c>
    </row>
    <row r="25" ht="15.75" customHeight="1">
      <c r="AO25" s="26">
        <f t="shared" si="27"/>
        <v>1.099987208</v>
      </c>
      <c r="AP25" s="26">
        <f t="shared" si="28"/>
        <v>-2.249806651</v>
      </c>
      <c r="AQ25" s="26">
        <f t="shared" si="29"/>
        <v>-6.296052632</v>
      </c>
    </row>
    <row r="26" ht="15.75" customHeight="1">
      <c r="AJ26" s="45" t="s">
        <v>84</v>
      </c>
      <c r="AK26" s="46" t="s">
        <v>85</v>
      </c>
      <c r="AL26" s="47" t="s">
        <v>86</v>
      </c>
      <c r="AN26" s="5"/>
      <c r="AO26" s="26">
        <f t="shared" si="27"/>
        <v>1.099984304</v>
      </c>
      <c r="AP26" s="26">
        <f t="shared" si="28"/>
        <v>-2.249848515</v>
      </c>
      <c r="AQ26" s="26">
        <f t="shared" si="29"/>
        <v>-6.289156627</v>
      </c>
    </row>
    <row r="27" ht="15.75" customHeight="1">
      <c r="AJ27" s="48" t="s">
        <v>48</v>
      </c>
      <c r="AK27" s="49">
        <f>AI14</f>
        <v>131625</v>
      </c>
      <c r="AL27" s="50" t="str">
        <f t="shared" ref="AL27:AL31" si="31">AK27/$BB$14</f>
        <v>#REF!</v>
      </c>
    </row>
    <row r="28" ht="15.75" customHeight="1">
      <c r="AJ28" s="48" t="s">
        <v>87</v>
      </c>
      <c r="AK28" s="49">
        <f>AB14</f>
        <v>3210696</v>
      </c>
      <c r="AL28" s="50" t="str">
        <f t="shared" si="31"/>
        <v>#REF!</v>
      </c>
    </row>
    <row r="29" ht="15.75" customHeight="1">
      <c r="AJ29" s="48" t="s">
        <v>40</v>
      </c>
      <c r="AK29" s="49">
        <f>Y14</f>
        <v>613500</v>
      </c>
      <c r="AL29" s="50" t="str">
        <f t="shared" si="31"/>
        <v>#REF!</v>
      </c>
      <c r="BI29" s="5" t="s">
        <v>88</v>
      </c>
    </row>
    <row r="30" ht="15.75" customHeight="1">
      <c r="AJ30" s="48" t="s">
        <v>17</v>
      </c>
      <c r="AK30" s="49">
        <f>AD14</f>
        <v>1895690.7</v>
      </c>
      <c r="AL30" s="50" t="str">
        <f t="shared" si="31"/>
        <v>#REF!</v>
      </c>
      <c r="BI30" s="14" t="s">
        <v>0</v>
      </c>
      <c r="BJ30" s="15" t="s">
        <v>1</v>
      </c>
      <c r="BK30" s="16" t="s">
        <v>64</v>
      </c>
    </row>
    <row r="31" ht="15.75" customHeight="1">
      <c r="AJ31" s="48" t="s">
        <v>89</v>
      </c>
      <c r="AK31" s="49">
        <f>AO14</f>
        <v>453628</v>
      </c>
      <c r="AL31" s="50" t="str">
        <f t="shared" si="31"/>
        <v>#REF!</v>
      </c>
      <c r="BI31" s="3" t="s">
        <v>4</v>
      </c>
      <c r="BJ31" s="3">
        <v>53988.0</v>
      </c>
      <c r="BK31" s="26">
        <v>424939.02999999997</v>
      </c>
    </row>
    <row r="32" ht="15.75" customHeight="1">
      <c r="BI32" s="3" t="s">
        <v>5</v>
      </c>
      <c r="BJ32" s="3">
        <v>52176.0</v>
      </c>
      <c r="BK32" s="26">
        <v>295386.4</v>
      </c>
    </row>
    <row r="33" ht="15.75" customHeight="1">
      <c r="BI33" s="3" t="s">
        <v>6</v>
      </c>
      <c r="BJ33" s="3">
        <v>66912.0</v>
      </c>
      <c r="BK33" s="26">
        <v>516463.94000000006</v>
      </c>
    </row>
    <row r="34" ht="15.75" customHeight="1">
      <c r="BI34" s="3" t="s">
        <v>7</v>
      </c>
      <c r="BJ34" s="3">
        <v>77448.0</v>
      </c>
      <c r="BK34" s="26">
        <v>579412.74</v>
      </c>
    </row>
    <row r="35" ht="15.75" customHeight="1">
      <c r="BI35" s="3" t="s">
        <v>8</v>
      </c>
      <c r="BJ35" s="3">
        <v>79746.0</v>
      </c>
      <c r="BK35" s="26">
        <v>590654.39</v>
      </c>
    </row>
    <row r="36" ht="15.75" customHeight="1">
      <c r="BI36" s="3" t="s">
        <v>9</v>
      </c>
      <c r="BJ36" s="3">
        <v>80130.0</v>
      </c>
      <c r="BK36" s="26">
        <v>564661.6100000001</v>
      </c>
    </row>
    <row r="37" ht="15.75" customHeight="1">
      <c r="BI37" s="3" t="s">
        <v>10</v>
      </c>
      <c r="BJ37" s="3">
        <v>76992.0</v>
      </c>
      <c r="BK37" s="26">
        <v>556111.4999999999</v>
      </c>
    </row>
    <row r="38" ht="15.75" customHeight="1">
      <c r="BI38" s="3" t="s">
        <v>11</v>
      </c>
      <c r="BJ38" s="3">
        <v>54522.0</v>
      </c>
      <c r="BK38" s="26">
        <v>418295.6</v>
      </c>
    </row>
    <row r="39" ht="15.75" customHeight="1">
      <c r="BI39" s="3" t="s">
        <v>12</v>
      </c>
      <c r="BJ39" s="3">
        <v>70902.0</v>
      </c>
      <c r="BK39" s="26">
        <v>503634.4699999999</v>
      </c>
    </row>
    <row r="40" ht="15.75" customHeight="1">
      <c r="BI40" s="3" t="s">
        <v>13</v>
      </c>
      <c r="BJ40" s="3">
        <v>69870.0</v>
      </c>
      <c r="BK40" s="26">
        <v>514546.94</v>
      </c>
    </row>
    <row r="41" ht="15.75" customHeight="1">
      <c r="BI41" s="3" t="s">
        <v>14</v>
      </c>
      <c r="BJ41" s="3">
        <v>65016.0</v>
      </c>
      <c r="BK41" s="26">
        <v>482046.02</v>
      </c>
    </row>
    <row r="42" ht="15.75" customHeight="1">
      <c r="BI42" s="3" t="s">
        <v>15</v>
      </c>
      <c r="BJ42" s="3">
        <v>54972.0</v>
      </c>
      <c r="BK42" s="26">
        <v>443796.85</v>
      </c>
    </row>
    <row r="43" ht="15.75" customHeight="1"/>
    <row r="44" ht="15.75" customHeight="1">
      <c r="BI44" s="5" t="s">
        <v>90</v>
      </c>
    </row>
    <row r="45" ht="15.75" customHeight="1">
      <c r="BI45" s="1" t="s">
        <v>0</v>
      </c>
      <c r="BJ45" s="2" t="s">
        <v>1</v>
      </c>
      <c r="BK45" s="4" t="s">
        <v>2</v>
      </c>
      <c r="BL45" s="5" t="s">
        <v>3</v>
      </c>
      <c r="BM45" s="5"/>
    </row>
    <row r="46" ht="15.75" customHeight="1">
      <c r="BI46" s="6" t="s">
        <v>4</v>
      </c>
      <c r="BJ46" s="7">
        <v>53988.0</v>
      </c>
      <c r="BK46" s="7">
        <v>37920.0</v>
      </c>
      <c r="BL46" s="3">
        <f t="shared" ref="BL46:BL57" si="32">BJ46-BK46</f>
        <v>16068</v>
      </c>
    </row>
    <row r="47" ht="15.75" customHeight="1">
      <c r="BI47" s="6" t="s">
        <v>5</v>
      </c>
      <c r="BJ47" s="7">
        <v>52176.0</v>
      </c>
      <c r="BK47" s="7">
        <v>89760.0</v>
      </c>
      <c r="BL47" s="3">
        <f t="shared" si="32"/>
        <v>-37584</v>
      </c>
    </row>
    <row r="48" ht="15.75" customHeight="1">
      <c r="BI48" s="6" t="s">
        <v>6</v>
      </c>
      <c r="BJ48" s="7">
        <v>66912.0</v>
      </c>
      <c r="BK48" s="7">
        <v>45000.0</v>
      </c>
      <c r="BL48" s="3">
        <f t="shared" si="32"/>
        <v>21912</v>
      </c>
    </row>
    <row r="49" ht="15.75" customHeight="1">
      <c r="BI49" s="6" t="s">
        <v>7</v>
      </c>
      <c r="BJ49" s="7">
        <v>77448.0</v>
      </c>
      <c r="BK49" s="7">
        <v>45000.0</v>
      </c>
      <c r="BL49" s="3">
        <f t="shared" si="32"/>
        <v>32448</v>
      </c>
    </row>
    <row r="50" ht="15.75" customHeight="1">
      <c r="BI50" s="6" t="s">
        <v>8</v>
      </c>
      <c r="BJ50" s="7">
        <v>79746.0</v>
      </c>
      <c r="BK50" s="7">
        <v>28200.0</v>
      </c>
      <c r="BL50" s="3">
        <f t="shared" si="32"/>
        <v>51546</v>
      </c>
    </row>
    <row r="51" ht="15.75" customHeight="1">
      <c r="BI51" s="6" t="s">
        <v>9</v>
      </c>
      <c r="BJ51" s="7">
        <v>80130.0</v>
      </c>
      <c r="BK51" s="7">
        <v>35760.0</v>
      </c>
      <c r="BL51" s="3">
        <f t="shared" si="32"/>
        <v>44370</v>
      </c>
    </row>
    <row r="52" ht="15.75" customHeight="1">
      <c r="BI52" s="6" t="s">
        <v>10</v>
      </c>
      <c r="BJ52" s="7">
        <v>76992.0</v>
      </c>
      <c r="BK52" s="7">
        <v>25560.0</v>
      </c>
      <c r="BL52" s="3">
        <f t="shared" si="32"/>
        <v>51432</v>
      </c>
    </row>
    <row r="53" ht="15.75" customHeight="1">
      <c r="BI53" s="6" t="s">
        <v>11</v>
      </c>
      <c r="BJ53" s="7">
        <v>54522.0</v>
      </c>
      <c r="BK53" s="7">
        <v>28080.0</v>
      </c>
      <c r="BL53" s="3">
        <f t="shared" si="32"/>
        <v>26442</v>
      </c>
    </row>
    <row r="54" ht="15.75" customHeight="1">
      <c r="BI54" s="6" t="s">
        <v>12</v>
      </c>
      <c r="BJ54" s="7">
        <v>70902.0</v>
      </c>
      <c r="BK54" s="7">
        <v>31680.0</v>
      </c>
      <c r="BL54" s="3">
        <f t="shared" si="32"/>
        <v>39222</v>
      </c>
    </row>
    <row r="55" ht="15.75" customHeight="1">
      <c r="BI55" s="6" t="s">
        <v>13</v>
      </c>
      <c r="BJ55" s="7">
        <v>69870.0</v>
      </c>
      <c r="BK55" s="7">
        <v>26760.0</v>
      </c>
      <c r="BL55" s="3">
        <f t="shared" si="32"/>
        <v>43110</v>
      </c>
    </row>
    <row r="56" ht="15.75" customHeight="1">
      <c r="BI56" s="6" t="s">
        <v>14</v>
      </c>
      <c r="BJ56" s="7">
        <v>65016.0</v>
      </c>
      <c r="BK56" s="7">
        <v>26039.0</v>
      </c>
      <c r="BL56" s="3">
        <f t="shared" si="32"/>
        <v>38977</v>
      </c>
    </row>
    <row r="57" ht="15.75" customHeight="1">
      <c r="BI57" s="6" t="s">
        <v>15</v>
      </c>
      <c r="BJ57" s="7">
        <v>54972.0</v>
      </c>
      <c r="BK57" s="7">
        <v>55919.0</v>
      </c>
      <c r="BL57" s="3">
        <f t="shared" si="32"/>
        <v>-947</v>
      </c>
    </row>
    <row r="58" ht="15.75" customHeight="1"/>
    <row r="59" ht="15.75" customHeight="1"/>
    <row r="60" ht="15.75" customHeight="1">
      <c r="BI60" s="5" t="s">
        <v>91</v>
      </c>
    </row>
    <row r="61" ht="15.75" customHeight="1">
      <c r="BI61" s="1" t="s">
        <v>0</v>
      </c>
      <c r="BJ61" s="51" t="s">
        <v>92</v>
      </c>
      <c r="BK61" s="51" t="s">
        <v>69</v>
      </c>
      <c r="BL61" s="11" t="s">
        <v>18</v>
      </c>
      <c r="BM61" s="11" t="s">
        <v>19</v>
      </c>
    </row>
    <row r="62" ht="15.75" customHeight="1">
      <c r="BI62" s="6" t="s">
        <v>4</v>
      </c>
      <c r="BJ62" s="12" t="str">
        <f t="shared" ref="BJ62:BJ73" si="33">(AK2+Y2)/I2</f>
        <v>#REF!</v>
      </c>
      <c r="BK62" s="12">
        <f>(BB2-Y2)/R2</f>
        <v>6.981032951</v>
      </c>
      <c r="BL62" s="12">
        <v>7.451487923242202</v>
      </c>
      <c r="BM62" s="12">
        <v>7.870990405275247</v>
      </c>
    </row>
    <row r="63" ht="15.75" customHeight="1">
      <c r="BI63" s="6" t="s">
        <v>5</v>
      </c>
      <c r="BJ63" s="12" t="str">
        <f t="shared" si="33"/>
        <v>#REF!</v>
      </c>
      <c r="BK63" s="12" t="str">
        <f t="shared" ref="BK63:BK73" si="34">(BB3-Y3)/AY3</f>
        <v>#REF!</v>
      </c>
      <c r="BL63" s="12">
        <v>7.457157697025453</v>
      </c>
      <c r="BM63" s="12">
        <v>5.661346212818154</v>
      </c>
    </row>
    <row r="64" ht="15.75" customHeight="1">
      <c r="BI64" s="6" t="s">
        <v>6</v>
      </c>
      <c r="BJ64" s="12" t="str">
        <f t="shared" si="33"/>
        <v>#REF!</v>
      </c>
      <c r="BK64" s="12" t="str">
        <f t="shared" si="34"/>
        <v>#REF!</v>
      </c>
      <c r="BL64" s="12">
        <v>7.264076548302249</v>
      </c>
      <c r="BM64" s="12">
        <v>7.718554818268772</v>
      </c>
    </row>
    <row r="65" ht="15.75" customHeight="1">
      <c r="BI65" s="6" t="s">
        <v>7</v>
      </c>
      <c r="BJ65" s="12" t="str">
        <f t="shared" si="33"/>
        <v>#REF!</v>
      </c>
      <c r="BK65" s="12" t="str">
        <f t="shared" si="34"/>
        <v>#REF!</v>
      </c>
      <c r="BL65" s="12">
        <v>7.138776598491891</v>
      </c>
      <c r="BM65" s="12">
        <v>7.481313139138519</v>
      </c>
    </row>
    <row r="66" ht="15.75" customHeight="1">
      <c r="BI66" s="6" t="s">
        <v>8</v>
      </c>
      <c r="BJ66" s="12" t="str">
        <f t="shared" si="33"/>
        <v>#REF!</v>
      </c>
      <c r="BK66" s="12" t="str">
        <f t="shared" si="34"/>
        <v>#REF!</v>
      </c>
      <c r="BL66" s="12">
        <v>7.1391274797482005</v>
      </c>
      <c r="BM66" s="12">
        <v>7.406696135229353</v>
      </c>
    </row>
    <row r="67" ht="15.75" customHeight="1">
      <c r="BI67" s="6" t="s">
        <v>9</v>
      </c>
      <c r="BJ67" s="12" t="str">
        <f t="shared" si="33"/>
        <v>#REF!</v>
      </c>
      <c r="BK67" s="12" t="str">
        <f t="shared" si="34"/>
        <v>#REF!</v>
      </c>
      <c r="BL67" s="12">
        <v>6.962113815050544</v>
      </c>
      <c r="BM67" s="12">
        <v>7.046819044053414</v>
      </c>
    </row>
    <row r="68" ht="15.75" customHeight="1">
      <c r="BI68" s="6" t="s">
        <v>10</v>
      </c>
      <c r="BJ68" s="12" t="str">
        <f t="shared" si="33"/>
        <v>#REF!</v>
      </c>
      <c r="BK68" s="12" t="str">
        <f t="shared" si="34"/>
        <v>#REF!</v>
      </c>
      <c r="BL68" s="12">
        <v>6.989932330631753</v>
      </c>
      <c r="BM68" s="12">
        <v>7.222977711970073</v>
      </c>
    </row>
    <row r="69" ht="15.75" customHeight="1">
      <c r="BI69" s="6" t="s">
        <v>11</v>
      </c>
      <c r="BJ69" s="12" t="str">
        <f t="shared" si="33"/>
        <v>#REF!</v>
      </c>
      <c r="BK69" s="12" t="str">
        <f t="shared" si="34"/>
        <v>#REF!</v>
      </c>
      <c r="BL69" s="12">
        <v>7.267565386449506</v>
      </c>
      <c r="BM69" s="12">
        <v>7.672051648875683</v>
      </c>
    </row>
    <row r="70" ht="15.75" customHeight="1">
      <c r="BI70" s="6" t="s">
        <v>12</v>
      </c>
      <c r="BJ70" s="12" t="str">
        <f t="shared" si="33"/>
        <v>#REF!</v>
      </c>
      <c r="BK70" s="12" t="str">
        <f t="shared" si="34"/>
        <v>#REF!</v>
      </c>
      <c r="BL70" s="12">
        <v>7.044155736086428</v>
      </c>
      <c r="BM70" s="12">
        <v>7.103247722208117</v>
      </c>
    </row>
    <row r="71" ht="15.75" customHeight="1">
      <c r="BI71" s="6" t="s">
        <v>13</v>
      </c>
      <c r="BJ71" s="12" t="str">
        <f t="shared" si="33"/>
        <v>#REF!</v>
      </c>
      <c r="BK71" s="12" t="str">
        <f t="shared" si="34"/>
        <v>#REF!</v>
      </c>
      <c r="BL71" s="12">
        <v>7.061174753112923</v>
      </c>
      <c r="BM71" s="12">
        <v>7.364347216258766</v>
      </c>
    </row>
    <row r="72" ht="15.75" customHeight="1">
      <c r="BI72" s="6" t="s">
        <v>14</v>
      </c>
      <c r="BJ72" s="12" t="str">
        <f t="shared" si="33"/>
        <v>#REF!</v>
      </c>
      <c r="BK72" s="12" t="str">
        <f t="shared" si="34"/>
        <v>#REF!</v>
      </c>
      <c r="BL72" s="12">
        <v>7.121678048480375</v>
      </c>
      <c r="BM72" s="12">
        <v>7.4142675649071</v>
      </c>
    </row>
    <row r="73" ht="15.75" customHeight="1">
      <c r="BI73" s="6" t="s">
        <v>15</v>
      </c>
      <c r="BJ73" s="12" t="str">
        <f t="shared" si="33"/>
        <v>#REF!</v>
      </c>
      <c r="BK73" s="12" t="str">
        <f t="shared" si="34"/>
        <v>#REF!</v>
      </c>
      <c r="BL73" s="12">
        <v>7.265405115331441</v>
      </c>
      <c r="BM73" s="12">
        <v>8.073143600378375</v>
      </c>
    </row>
    <row r="74" ht="15.75" customHeight="1"/>
    <row r="75" ht="15.75" customHeight="1"/>
    <row r="76" ht="15.75" customHeight="1"/>
    <row r="77" ht="15.75" customHeight="1">
      <c r="BI77" s="5" t="s">
        <v>93</v>
      </c>
    </row>
    <row r="78" ht="15.75" customHeight="1">
      <c r="BI78" s="1" t="s">
        <v>0</v>
      </c>
      <c r="BJ78" s="1" t="s">
        <v>26</v>
      </c>
      <c r="BK78" s="1" t="s">
        <v>94</v>
      </c>
      <c r="BL78" s="1" t="s">
        <v>95</v>
      </c>
    </row>
    <row r="79" ht="15.75" customHeight="1">
      <c r="BI79" s="6" t="s">
        <v>4</v>
      </c>
      <c r="BJ79" s="7">
        <v>0.997</v>
      </c>
      <c r="BK79" s="3">
        <f t="shared" ref="BK79:BK90" si="35">0.99</f>
        <v>0.99</v>
      </c>
      <c r="BL79" s="5">
        <v>0.95</v>
      </c>
    </row>
    <row r="80" ht="15.75" customHeight="1">
      <c r="BI80" s="6" t="s">
        <v>5</v>
      </c>
      <c r="BJ80" s="7">
        <v>0.998</v>
      </c>
      <c r="BK80" s="3">
        <f t="shared" si="35"/>
        <v>0.99</v>
      </c>
      <c r="BL80" s="5">
        <v>0.95</v>
      </c>
    </row>
    <row r="81" ht="15.75" customHeight="1">
      <c r="BI81" s="6" t="s">
        <v>6</v>
      </c>
      <c r="BJ81" s="7">
        <v>0.997</v>
      </c>
      <c r="BK81" s="3">
        <f t="shared" si="35"/>
        <v>0.99</v>
      </c>
      <c r="BL81" s="5">
        <v>0.95</v>
      </c>
    </row>
    <row r="82" ht="15.75" customHeight="1">
      <c r="BI82" s="6" t="s">
        <v>7</v>
      </c>
      <c r="BJ82" s="7">
        <v>0.997</v>
      </c>
      <c r="BK82" s="3">
        <f t="shared" si="35"/>
        <v>0.99</v>
      </c>
      <c r="BL82" s="5">
        <v>0.95</v>
      </c>
    </row>
    <row r="83" ht="15.75" customHeight="1">
      <c r="BI83" s="6" t="s">
        <v>8</v>
      </c>
      <c r="BJ83" s="7">
        <v>0.988</v>
      </c>
      <c r="BK83" s="3">
        <f t="shared" si="35"/>
        <v>0.99</v>
      </c>
      <c r="BL83" s="5">
        <v>0.95</v>
      </c>
    </row>
    <row r="84" ht="15.75" customHeight="1">
      <c r="BI84" s="6" t="s">
        <v>9</v>
      </c>
      <c r="BJ84" s="7">
        <v>0.997</v>
      </c>
      <c r="BK84" s="3">
        <f t="shared" si="35"/>
        <v>0.99</v>
      </c>
      <c r="BL84" s="5">
        <v>0.95</v>
      </c>
    </row>
    <row r="85" ht="15.75" customHeight="1">
      <c r="BI85" s="6" t="s">
        <v>10</v>
      </c>
      <c r="BJ85" s="7">
        <v>0.997</v>
      </c>
      <c r="BK85" s="3">
        <f t="shared" si="35"/>
        <v>0.99</v>
      </c>
      <c r="BL85" s="5">
        <v>0.95</v>
      </c>
    </row>
    <row r="86" ht="15.75" customHeight="1">
      <c r="BI86" s="6" t="s">
        <v>11</v>
      </c>
      <c r="BJ86" s="7">
        <v>0.996</v>
      </c>
      <c r="BK86" s="3">
        <f t="shared" si="35"/>
        <v>0.99</v>
      </c>
      <c r="BL86" s="5">
        <v>0.95</v>
      </c>
    </row>
    <row r="87" ht="15.75" customHeight="1">
      <c r="BI87" s="6" t="s">
        <v>12</v>
      </c>
      <c r="BJ87" s="7">
        <v>0.998</v>
      </c>
      <c r="BK87" s="3">
        <f t="shared" si="35"/>
        <v>0.99</v>
      </c>
      <c r="BL87" s="5">
        <v>0.95</v>
      </c>
    </row>
    <row r="88" ht="15.75" customHeight="1">
      <c r="BI88" s="6" t="s">
        <v>13</v>
      </c>
      <c r="BJ88" s="7">
        <v>0.998</v>
      </c>
      <c r="BK88" s="3">
        <f t="shared" si="35"/>
        <v>0.99</v>
      </c>
      <c r="BL88" s="5">
        <v>0.95</v>
      </c>
    </row>
    <row r="89" ht="15.75" customHeight="1">
      <c r="BI89" s="6" t="s">
        <v>14</v>
      </c>
      <c r="BJ89" s="7">
        <v>0.998</v>
      </c>
      <c r="BK89" s="3">
        <f t="shared" si="35"/>
        <v>0.99</v>
      </c>
      <c r="BL89" s="5">
        <v>0.95</v>
      </c>
    </row>
    <row r="90" ht="15.75" customHeight="1">
      <c r="BI90" s="6" t="s">
        <v>15</v>
      </c>
      <c r="BJ90" s="7">
        <v>0.997</v>
      </c>
      <c r="BK90" s="3">
        <f t="shared" si="35"/>
        <v>0.99</v>
      </c>
      <c r="BL90" s="5">
        <v>0.95</v>
      </c>
    </row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K18:N18"/>
    <mergeCell ref="K19:N19"/>
  </mergeCells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" t="str">
        <f>IFERROR(__xludf.DUMMYFUNCTION("QUERY(Angiplast!A2:Q1000, ""select A, I, Q, I-Q where A is not null label I-Q 'Net Consumption'"", 0)"),"")</f>
        <v/>
      </c>
      <c r="B1" s="3" t="str">
        <f>IFERROR(__xludf.DUMMYFUNCTION("""COMPUTED_VALUE"""),"")</f>
        <v/>
      </c>
      <c r="C1" s="3" t="str">
        <f>IFERROR(__xludf.DUMMYFUNCTION("""COMPUTED_VALUE"""),"")</f>
        <v/>
      </c>
      <c r="D1" s="3" t="str">
        <f>IFERROR(__xludf.DUMMYFUNCTION("""COMPUTED_VALUE"""),"Net Consumption")</f>
        <v>Net Consumption</v>
      </c>
    </row>
    <row r="2">
      <c r="A2" s="3" t="str">
        <f>IFERROR(__xludf.DUMMYFUNCTION("""COMPUTED_VALUE"""),"APR-2025")</f>
        <v>APR-2025</v>
      </c>
      <c r="B2" s="8">
        <f>IFERROR(__xludf.DUMMYFUNCTION("""COMPUTED_VALUE"""),53988.0)</f>
        <v>53988</v>
      </c>
      <c r="C2" s="3">
        <f>IFERROR(__xludf.DUMMYFUNCTION("""COMPUTED_VALUE"""),37920.0)</f>
        <v>37920</v>
      </c>
      <c r="D2" s="3">
        <f>IFERROR(__xludf.DUMMYFUNCTION("""COMPUTED_VALUE"""),16068.0)</f>
        <v>16068</v>
      </c>
    </row>
    <row r="3">
      <c r="A3" s="3" t="str">
        <f>IFERROR(__xludf.DUMMYFUNCTION("""COMPUTED_VALUE"""),"MAY-2025")</f>
        <v>MAY-2025</v>
      </c>
      <c r="B3" s="8">
        <f>IFERROR(__xludf.DUMMYFUNCTION("""COMPUTED_VALUE"""),52176.0)</f>
        <v>52176</v>
      </c>
      <c r="C3" s="3">
        <f>IFERROR(__xludf.DUMMYFUNCTION("""COMPUTED_VALUE"""),89760.0)</f>
        <v>89760</v>
      </c>
      <c r="D3" s="3">
        <f>IFERROR(__xludf.DUMMYFUNCTION("""COMPUTED_VALUE"""),-37584.0)</f>
        <v>-37584</v>
      </c>
    </row>
    <row r="4">
      <c r="A4" s="3" t="str">
        <f>IFERROR(__xludf.DUMMYFUNCTION("""COMPUTED_VALUE"""),"JUN-2025")</f>
        <v>JUN-2025</v>
      </c>
      <c r="B4" s="8">
        <f>IFERROR(__xludf.DUMMYFUNCTION("""COMPUTED_VALUE"""),66912.0)</f>
        <v>66912</v>
      </c>
      <c r="C4" s="3">
        <f>IFERROR(__xludf.DUMMYFUNCTION("""COMPUTED_VALUE"""),45000.0)</f>
        <v>45000</v>
      </c>
      <c r="D4" s="3">
        <f>IFERROR(__xludf.DUMMYFUNCTION("""COMPUTED_VALUE"""),21912.0)</f>
        <v>21912</v>
      </c>
    </row>
    <row r="5">
      <c r="A5" s="3" t="str">
        <f>IFERROR(__xludf.DUMMYFUNCTION("""COMPUTED_VALUE"""),"JUL-2025")</f>
        <v>JUL-2025</v>
      </c>
      <c r="B5" s="8">
        <f>IFERROR(__xludf.DUMMYFUNCTION("""COMPUTED_VALUE"""),77448.0)</f>
        <v>77448</v>
      </c>
      <c r="C5" s="3">
        <f>IFERROR(__xludf.DUMMYFUNCTION("""COMPUTED_VALUE"""),45000.0)</f>
        <v>45000</v>
      </c>
      <c r="D5" s="3">
        <f>IFERROR(__xludf.DUMMYFUNCTION("""COMPUTED_VALUE"""),32448.0)</f>
        <v>32448</v>
      </c>
    </row>
    <row r="6">
      <c r="A6" s="3" t="str">
        <f>IFERROR(__xludf.DUMMYFUNCTION("""COMPUTED_VALUE"""),"AUG-2025")</f>
        <v>AUG-2025</v>
      </c>
      <c r="B6" s="8">
        <f>IFERROR(__xludf.DUMMYFUNCTION("""COMPUTED_VALUE"""),79746.0)</f>
        <v>79746</v>
      </c>
      <c r="C6" s="3">
        <f>IFERROR(__xludf.DUMMYFUNCTION("""COMPUTED_VALUE"""),28200.0)</f>
        <v>28200</v>
      </c>
      <c r="D6" s="3">
        <f>IFERROR(__xludf.DUMMYFUNCTION("""COMPUTED_VALUE"""),51546.0)</f>
        <v>51546</v>
      </c>
    </row>
    <row r="7">
      <c r="A7" s="3" t="str">
        <f>IFERROR(__xludf.DUMMYFUNCTION("""COMPUTED_VALUE"""),"SEP-2025")</f>
        <v>SEP-2025</v>
      </c>
      <c r="B7" s="8">
        <f>IFERROR(__xludf.DUMMYFUNCTION("""COMPUTED_VALUE"""),80130.0)</f>
        <v>80130</v>
      </c>
      <c r="C7" s="3">
        <f>IFERROR(__xludf.DUMMYFUNCTION("""COMPUTED_VALUE"""),35760.0)</f>
        <v>35760</v>
      </c>
      <c r="D7" s="3">
        <f>IFERROR(__xludf.DUMMYFUNCTION("""COMPUTED_VALUE"""),44370.0)</f>
        <v>44370</v>
      </c>
    </row>
    <row r="8">
      <c r="A8" s="3" t="str">
        <f>IFERROR(__xludf.DUMMYFUNCTION("""COMPUTED_VALUE"""),"OCT-2025")</f>
        <v>OCT-2025</v>
      </c>
      <c r="B8" s="8">
        <f>IFERROR(__xludf.DUMMYFUNCTION("""COMPUTED_VALUE"""),76992.0)</f>
        <v>76992</v>
      </c>
      <c r="C8" s="3">
        <f>IFERROR(__xludf.DUMMYFUNCTION("""COMPUTED_VALUE"""),25560.0)</f>
        <v>25560</v>
      </c>
      <c r="D8" s="3">
        <f>IFERROR(__xludf.DUMMYFUNCTION("""COMPUTED_VALUE"""),51432.0)</f>
        <v>51432</v>
      </c>
    </row>
    <row r="9">
      <c r="A9" s="3" t="str">
        <f>IFERROR(__xludf.DUMMYFUNCTION("""COMPUTED_VALUE"""),"NOV-2025")</f>
        <v>NOV-2025</v>
      </c>
      <c r="B9" s="8">
        <f>IFERROR(__xludf.DUMMYFUNCTION("""COMPUTED_VALUE"""),54522.0)</f>
        <v>54522</v>
      </c>
      <c r="C9" s="3">
        <f>IFERROR(__xludf.DUMMYFUNCTION("""COMPUTED_VALUE"""),28080.0)</f>
        <v>28080</v>
      </c>
      <c r="D9" s="3">
        <f>IFERROR(__xludf.DUMMYFUNCTION("""COMPUTED_VALUE"""),26442.0)</f>
        <v>26442</v>
      </c>
    </row>
    <row r="10">
      <c r="A10" s="3" t="str">
        <f>IFERROR(__xludf.DUMMYFUNCTION("""COMPUTED_VALUE"""),"DEC-2025")</f>
        <v>DEC-2025</v>
      </c>
      <c r="B10" s="8">
        <f>IFERROR(__xludf.DUMMYFUNCTION("""COMPUTED_VALUE"""),70902.0)</f>
        <v>70902</v>
      </c>
      <c r="C10" s="3">
        <f>IFERROR(__xludf.DUMMYFUNCTION("""COMPUTED_VALUE"""),31680.0)</f>
        <v>31680</v>
      </c>
      <c r="D10" s="3">
        <f>IFERROR(__xludf.DUMMYFUNCTION("""COMPUTED_VALUE"""),39222.0)</f>
        <v>39222</v>
      </c>
    </row>
    <row r="11">
      <c r="A11" s="3" t="str">
        <f>IFERROR(__xludf.DUMMYFUNCTION("""COMPUTED_VALUE"""),"JAN-2026")</f>
        <v>JAN-2026</v>
      </c>
      <c r="B11" s="8">
        <f>IFERROR(__xludf.DUMMYFUNCTION("""COMPUTED_VALUE"""),69870.0)</f>
        <v>69870</v>
      </c>
      <c r="C11" s="3">
        <f>IFERROR(__xludf.DUMMYFUNCTION("""COMPUTED_VALUE"""),26760.0)</f>
        <v>26760</v>
      </c>
      <c r="D11" s="3">
        <f>IFERROR(__xludf.DUMMYFUNCTION("""COMPUTED_VALUE"""),43110.0)</f>
        <v>43110</v>
      </c>
    </row>
    <row r="12">
      <c r="A12" s="3" t="str">
        <f>IFERROR(__xludf.DUMMYFUNCTION("""COMPUTED_VALUE"""),"FEB-2026")</f>
        <v>FEB-2026</v>
      </c>
      <c r="B12" s="8">
        <f>IFERROR(__xludf.DUMMYFUNCTION("""COMPUTED_VALUE"""),65016.0)</f>
        <v>65016</v>
      </c>
      <c r="C12" s="3">
        <f>IFERROR(__xludf.DUMMYFUNCTION("""COMPUTED_VALUE"""),26039.0)</f>
        <v>26039</v>
      </c>
      <c r="D12" s="3">
        <f>IFERROR(__xludf.DUMMYFUNCTION("""COMPUTED_VALUE"""),38977.0)</f>
        <v>38977</v>
      </c>
    </row>
    <row r="13">
      <c r="A13" s="3" t="str">
        <f>IFERROR(__xludf.DUMMYFUNCTION("""COMPUTED_VALUE"""),"MAR-2026")</f>
        <v>MAR-2026</v>
      </c>
      <c r="B13" s="8">
        <f>IFERROR(__xludf.DUMMYFUNCTION("""COMPUTED_VALUE"""),54972.0)</f>
        <v>54972</v>
      </c>
      <c r="C13" s="3">
        <f>IFERROR(__xludf.DUMMYFUNCTION("""COMPUTED_VALUE"""),55919.0)</f>
        <v>55919</v>
      </c>
      <c r="D13" s="3">
        <f>IFERROR(__xludf.DUMMYFUNCTION("""COMPUTED_VALUE"""),-947.0)</f>
        <v>-947</v>
      </c>
    </row>
    <row r="18">
      <c r="A18" s="3" t="str">
        <f>IFERROR(__xludf.DUMMYFUNCTION("QUERY(Angiplast!A2:BF1000, ""select A, AB, AD, BB, BE where A is not null"", 0)"),"APR-2025")</f>
        <v>APR-2025</v>
      </c>
      <c r="B18" s="10">
        <f>IFERROR(__xludf.DUMMYFUNCTION("""COMPUTED_VALUE"""),215952.0)</f>
        <v>215952</v>
      </c>
      <c r="C18" s="10">
        <f>IFERROR(__xludf.DUMMYFUNCTION("""COMPUTED_VALUE"""),132270.6)</f>
        <v>132270.6</v>
      </c>
      <c r="D18" s="10">
        <f>IFERROR(__xludf.DUMMYFUNCTION("""COMPUTED_VALUE"""),424939.03)</f>
        <v>424939.03</v>
      </c>
      <c r="E18" s="10">
        <f>IFERROR(__xludf.DUMMYFUNCTION("""COMPUTED_VALUE"""),6.981032950620742)</f>
        <v>6.981032951</v>
      </c>
    </row>
    <row r="19">
      <c r="A19" s="3" t="str">
        <f>IFERROR(__xludf.DUMMYFUNCTION("""COMPUTED_VALUE"""),"MAY-2025")</f>
        <v>MAY-2025</v>
      </c>
      <c r="B19" s="10">
        <f>IFERROR(__xludf.DUMMYFUNCTION("""COMPUTED_VALUE"""),208704.0)</f>
        <v>208704</v>
      </c>
      <c r="C19" s="10">
        <f>IFERROR(__xludf.DUMMYFUNCTION("""COMPUTED_VALUE"""),127831.2)</f>
        <v>127831.2</v>
      </c>
      <c r="D19" s="10"/>
      <c r="E19" s="10"/>
    </row>
    <row r="20">
      <c r="A20" s="3" t="str">
        <f>IFERROR(__xludf.DUMMYFUNCTION("""COMPUTED_VALUE"""),"JUN-2025")</f>
        <v>JUN-2025</v>
      </c>
      <c r="B20" s="10">
        <f>IFERROR(__xludf.DUMMYFUNCTION("""COMPUTED_VALUE"""),267648.0)</f>
        <v>267648</v>
      </c>
      <c r="C20" s="10">
        <f>IFERROR(__xludf.DUMMYFUNCTION("""COMPUTED_VALUE"""),163934.4)</f>
        <v>163934.4</v>
      </c>
      <c r="D20" s="10"/>
      <c r="E20" s="10"/>
    </row>
    <row r="21">
      <c r="A21" s="3" t="str">
        <f>IFERROR(__xludf.DUMMYFUNCTION("""COMPUTED_VALUE"""),"JUL-2025")</f>
        <v>JUL-2025</v>
      </c>
      <c r="B21" s="10">
        <f>IFERROR(__xludf.DUMMYFUNCTION("""COMPUTED_VALUE"""),309792.0)</f>
        <v>309792</v>
      </c>
      <c r="C21" s="10">
        <f>IFERROR(__xludf.DUMMYFUNCTION("""COMPUTED_VALUE"""),189747.6)</f>
        <v>189747.6</v>
      </c>
      <c r="D21" s="10"/>
      <c r="E21" s="10"/>
    </row>
    <row r="22">
      <c r="A22" s="3" t="str">
        <f>IFERROR(__xludf.DUMMYFUNCTION("""COMPUTED_VALUE"""),"AUG-2025")</f>
        <v>AUG-2025</v>
      </c>
      <c r="B22" s="10">
        <f>IFERROR(__xludf.DUMMYFUNCTION("""COMPUTED_VALUE"""),318984.0)</f>
        <v>318984</v>
      </c>
      <c r="C22" s="10">
        <f>IFERROR(__xludf.DUMMYFUNCTION("""COMPUTED_VALUE"""),195377.7)</f>
        <v>195377.7</v>
      </c>
      <c r="D22" s="10"/>
      <c r="E22" s="10"/>
    </row>
    <row r="23">
      <c r="A23" s="3" t="str">
        <f>IFERROR(__xludf.DUMMYFUNCTION("""COMPUTED_VALUE"""),"SEP-2025")</f>
        <v>SEP-2025</v>
      </c>
      <c r="B23" s="10">
        <f>IFERROR(__xludf.DUMMYFUNCTION("""COMPUTED_VALUE"""),320520.0)</f>
        <v>320520</v>
      </c>
      <c r="C23" s="10">
        <f>IFERROR(__xludf.DUMMYFUNCTION("""COMPUTED_VALUE"""),184299.0)</f>
        <v>184299</v>
      </c>
      <c r="D23" s="10"/>
      <c r="E23" s="10"/>
    </row>
    <row r="24">
      <c r="A24" s="3" t="str">
        <f>IFERROR(__xludf.DUMMYFUNCTION("""COMPUTED_VALUE"""),"OCT-2025")</f>
        <v>OCT-2025</v>
      </c>
      <c r="B24" s="10">
        <f>IFERROR(__xludf.DUMMYFUNCTION("""COMPUTED_VALUE"""),307968.0)</f>
        <v>307968</v>
      </c>
      <c r="C24" s="10">
        <f>IFERROR(__xludf.DUMMYFUNCTION("""COMPUTED_VALUE"""),177081.6)</f>
        <v>177081.6</v>
      </c>
      <c r="D24" s="10"/>
      <c r="E24" s="10"/>
    </row>
    <row r="25">
      <c r="A25" s="3" t="str">
        <f>IFERROR(__xludf.DUMMYFUNCTION("""COMPUTED_VALUE"""),"NOV-2025")</f>
        <v>NOV-2025</v>
      </c>
      <c r="B25" s="10">
        <f>IFERROR(__xludf.DUMMYFUNCTION("""COMPUTED_VALUE"""),218088.0)</f>
        <v>218088</v>
      </c>
      <c r="C25" s="10">
        <f>IFERROR(__xludf.DUMMYFUNCTION("""COMPUTED_VALUE"""),125400.6)</f>
        <v>125400.6</v>
      </c>
      <c r="D25" s="10"/>
      <c r="E25" s="10"/>
    </row>
    <row r="26">
      <c r="A26" s="3" t="str">
        <f>IFERROR(__xludf.DUMMYFUNCTION("""COMPUTED_VALUE"""),"DEC-2025")</f>
        <v>DEC-2025</v>
      </c>
      <c r="B26" s="10">
        <f>IFERROR(__xludf.DUMMYFUNCTION("""COMPUTED_VALUE"""),283608.0)</f>
        <v>283608</v>
      </c>
      <c r="C26" s="10">
        <f>IFERROR(__xludf.DUMMYFUNCTION("""COMPUTED_VALUE"""),163074.6)</f>
        <v>163074.6</v>
      </c>
      <c r="D26" s="10"/>
      <c r="E26" s="10"/>
    </row>
    <row r="27">
      <c r="A27" s="3" t="str">
        <f>IFERROR(__xludf.DUMMYFUNCTION("""COMPUTED_VALUE"""),"JAN-2026")</f>
        <v>JAN-2026</v>
      </c>
      <c r="B27" s="10">
        <f>IFERROR(__xludf.DUMMYFUNCTION("""COMPUTED_VALUE"""),279480.0)</f>
        <v>279480</v>
      </c>
      <c r="C27" s="10">
        <f>IFERROR(__xludf.DUMMYFUNCTION("""COMPUTED_VALUE"""),160701.0)</f>
        <v>160701</v>
      </c>
      <c r="D27" s="10"/>
      <c r="E27" s="10"/>
    </row>
    <row r="28">
      <c r="A28" s="3" t="str">
        <f>IFERROR(__xludf.DUMMYFUNCTION("""COMPUTED_VALUE"""),"FEB-2026")</f>
        <v>FEB-2026</v>
      </c>
      <c r="B28" s="10">
        <f>IFERROR(__xludf.DUMMYFUNCTION("""COMPUTED_VALUE"""),260064.0)</f>
        <v>260064</v>
      </c>
      <c r="C28" s="10">
        <f>IFERROR(__xludf.DUMMYFUNCTION("""COMPUTED_VALUE"""),149536.8)</f>
        <v>149536.8</v>
      </c>
      <c r="D28" s="10"/>
      <c r="E28" s="10"/>
    </row>
    <row r="29">
      <c r="A29" s="3" t="str">
        <f>IFERROR(__xludf.DUMMYFUNCTION("""COMPUTED_VALUE"""),"MAR-2026")</f>
        <v>MAR-2026</v>
      </c>
      <c r="B29" s="10">
        <f>IFERROR(__xludf.DUMMYFUNCTION("""COMPUTED_VALUE"""),219888.0)</f>
        <v>219888</v>
      </c>
      <c r="C29" s="10">
        <f>IFERROR(__xludf.DUMMYFUNCTION("""COMPUTED_VALUE"""),126435.6)</f>
        <v>126435.6</v>
      </c>
      <c r="D29" s="10"/>
      <c r="E29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2" t="s">
        <v>1</v>
      </c>
      <c r="C1" s="4" t="s">
        <v>2</v>
      </c>
      <c r="D1" s="5" t="s">
        <v>3</v>
      </c>
    </row>
    <row r="2">
      <c r="A2" s="6" t="s">
        <v>4</v>
      </c>
      <c r="B2" s="7">
        <v>53988.0</v>
      </c>
      <c r="C2" s="7">
        <v>37920.0</v>
      </c>
      <c r="D2" s="3">
        <f t="shared" ref="D2:D13" si="1">B2-C2</f>
        <v>16068</v>
      </c>
    </row>
    <row r="3">
      <c r="A3" s="6" t="s">
        <v>5</v>
      </c>
      <c r="B3" s="7">
        <v>52176.0</v>
      </c>
      <c r="C3" s="7">
        <v>89760.0</v>
      </c>
      <c r="D3" s="3">
        <f t="shared" si="1"/>
        <v>-37584</v>
      </c>
    </row>
    <row r="4">
      <c r="A4" s="6" t="s">
        <v>6</v>
      </c>
      <c r="B4" s="7">
        <v>66912.0</v>
      </c>
      <c r="C4" s="7">
        <v>45000.0</v>
      </c>
      <c r="D4" s="3">
        <f t="shared" si="1"/>
        <v>21912</v>
      </c>
    </row>
    <row r="5">
      <c r="A5" s="6" t="s">
        <v>7</v>
      </c>
      <c r="B5" s="7">
        <v>77448.0</v>
      </c>
      <c r="C5" s="7">
        <v>45000.0</v>
      </c>
      <c r="D5" s="3">
        <f t="shared" si="1"/>
        <v>32448</v>
      </c>
    </row>
    <row r="6">
      <c r="A6" s="6" t="s">
        <v>8</v>
      </c>
      <c r="B6" s="7">
        <v>79746.0</v>
      </c>
      <c r="C6" s="7">
        <v>28200.0</v>
      </c>
      <c r="D6" s="3">
        <f t="shared" si="1"/>
        <v>51546</v>
      </c>
    </row>
    <row r="7">
      <c r="A7" s="6" t="s">
        <v>9</v>
      </c>
      <c r="B7" s="7">
        <v>80130.0</v>
      </c>
      <c r="C7" s="7">
        <v>35760.0</v>
      </c>
      <c r="D7" s="3">
        <f t="shared" si="1"/>
        <v>44370</v>
      </c>
    </row>
    <row r="8">
      <c r="A8" s="6" t="s">
        <v>10</v>
      </c>
      <c r="B8" s="7">
        <v>76992.0</v>
      </c>
      <c r="C8" s="7">
        <v>25560.0</v>
      </c>
      <c r="D8" s="3">
        <f t="shared" si="1"/>
        <v>51432</v>
      </c>
    </row>
    <row r="9">
      <c r="A9" s="6" t="s">
        <v>11</v>
      </c>
      <c r="B9" s="7">
        <v>54522.0</v>
      </c>
      <c r="C9" s="7">
        <v>28080.0</v>
      </c>
      <c r="D9" s="3">
        <f t="shared" si="1"/>
        <v>26442</v>
      </c>
    </row>
    <row r="10">
      <c r="A10" s="6" t="s">
        <v>12</v>
      </c>
      <c r="B10" s="7">
        <v>70902.0</v>
      </c>
      <c r="C10" s="7">
        <v>31680.0</v>
      </c>
      <c r="D10" s="3">
        <f t="shared" si="1"/>
        <v>39222</v>
      </c>
    </row>
    <row r="11">
      <c r="A11" s="6" t="s">
        <v>13</v>
      </c>
      <c r="B11" s="7">
        <v>69870.0</v>
      </c>
      <c r="C11" s="7">
        <v>26760.0</v>
      </c>
      <c r="D11" s="3">
        <f t="shared" si="1"/>
        <v>43110</v>
      </c>
    </row>
    <row r="12">
      <c r="A12" s="6" t="s">
        <v>14</v>
      </c>
      <c r="B12" s="7">
        <v>65016.0</v>
      </c>
      <c r="C12" s="7">
        <v>26039.0</v>
      </c>
      <c r="D12" s="3">
        <f t="shared" si="1"/>
        <v>38977</v>
      </c>
    </row>
    <row r="13">
      <c r="A13" s="6" t="s">
        <v>15</v>
      </c>
      <c r="B13" s="7">
        <v>54972.0</v>
      </c>
      <c r="C13" s="7">
        <v>55919.0</v>
      </c>
      <c r="D13" s="3">
        <f t="shared" si="1"/>
        <v>-947</v>
      </c>
    </row>
    <row r="17">
      <c r="A17" s="1" t="s">
        <v>0</v>
      </c>
      <c r="B17" s="9" t="s">
        <v>16</v>
      </c>
      <c r="C17" s="9" t="s">
        <v>17</v>
      </c>
      <c r="D17" s="11" t="s">
        <v>18</v>
      </c>
      <c r="E17" s="11" t="s">
        <v>19</v>
      </c>
    </row>
    <row r="18">
      <c r="A18" s="6" t="s">
        <v>4</v>
      </c>
      <c r="B18" s="12">
        <v>215952.0</v>
      </c>
      <c r="C18" s="12">
        <v>132270.6</v>
      </c>
      <c r="D18" s="12">
        <v>7.451487923242202</v>
      </c>
      <c r="E18" s="12">
        <v>7.870990405275247</v>
      </c>
    </row>
    <row r="19">
      <c r="A19" s="6" t="s">
        <v>5</v>
      </c>
      <c r="B19" s="12">
        <v>208704.0</v>
      </c>
      <c r="C19" s="12">
        <v>127831.2</v>
      </c>
      <c r="D19" s="12">
        <v>7.457157697025453</v>
      </c>
      <c r="E19" s="12">
        <v>5.661346212818154</v>
      </c>
    </row>
    <row r="20">
      <c r="A20" s="6" t="s">
        <v>6</v>
      </c>
      <c r="B20" s="12">
        <v>267648.0</v>
      </c>
      <c r="C20" s="12">
        <v>163934.4</v>
      </c>
      <c r="D20" s="12">
        <v>7.264076548302249</v>
      </c>
      <c r="E20" s="12">
        <v>7.718554818268772</v>
      </c>
    </row>
    <row r="21">
      <c r="A21" s="6" t="s">
        <v>7</v>
      </c>
      <c r="B21" s="12">
        <v>309792.0</v>
      </c>
      <c r="C21" s="12">
        <v>189747.6</v>
      </c>
      <c r="D21" s="12">
        <v>7.138776598491891</v>
      </c>
      <c r="E21" s="12">
        <v>7.481313139138519</v>
      </c>
    </row>
    <row r="22">
      <c r="A22" s="6" t="s">
        <v>8</v>
      </c>
      <c r="B22" s="12">
        <v>318984.0</v>
      </c>
      <c r="C22" s="12">
        <v>195377.7</v>
      </c>
      <c r="D22" s="12">
        <v>7.1391274797482005</v>
      </c>
      <c r="E22" s="12">
        <v>7.406696135229353</v>
      </c>
    </row>
    <row r="23">
      <c r="A23" s="6" t="s">
        <v>9</v>
      </c>
      <c r="B23" s="12">
        <v>320520.0</v>
      </c>
      <c r="C23" s="12">
        <v>184299.0</v>
      </c>
      <c r="D23" s="12">
        <v>6.962113815050544</v>
      </c>
      <c r="E23" s="12">
        <v>7.046819044053414</v>
      </c>
    </row>
    <row r="24">
      <c r="A24" s="6" t="s">
        <v>10</v>
      </c>
      <c r="B24" s="12">
        <v>307968.0</v>
      </c>
      <c r="C24" s="12">
        <v>177081.6</v>
      </c>
      <c r="D24" s="12">
        <v>6.989932330631753</v>
      </c>
      <c r="E24" s="12">
        <v>7.222977711970073</v>
      </c>
    </row>
    <row r="25">
      <c r="A25" s="6" t="s">
        <v>11</v>
      </c>
      <c r="B25" s="12">
        <v>218088.0</v>
      </c>
      <c r="C25" s="12">
        <v>125400.6</v>
      </c>
      <c r="D25" s="12">
        <v>7.267565386449506</v>
      </c>
      <c r="E25" s="12">
        <v>7.672051648875683</v>
      </c>
    </row>
    <row r="26">
      <c r="A26" s="6" t="s">
        <v>12</v>
      </c>
      <c r="B26" s="12">
        <v>283608.0</v>
      </c>
      <c r="C26" s="12">
        <v>163074.6</v>
      </c>
      <c r="D26" s="12">
        <v>7.044155736086428</v>
      </c>
      <c r="E26" s="12">
        <v>7.103247722208117</v>
      </c>
    </row>
    <row r="27">
      <c r="A27" s="6" t="s">
        <v>13</v>
      </c>
      <c r="B27" s="12">
        <v>279480.0</v>
      </c>
      <c r="C27" s="12">
        <v>160701.0</v>
      </c>
      <c r="D27" s="12">
        <v>7.061174753112923</v>
      </c>
      <c r="E27" s="12">
        <v>7.364347216258766</v>
      </c>
    </row>
    <row r="28">
      <c r="A28" s="6" t="s">
        <v>14</v>
      </c>
      <c r="B28" s="12">
        <v>260064.0</v>
      </c>
      <c r="C28" s="12">
        <v>149536.8</v>
      </c>
      <c r="D28" s="12">
        <v>7.121678048480375</v>
      </c>
      <c r="E28" s="12">
        <v>7.4142675649071</v>
      </c>
    </row>
    <row r="29">
      <c r="A29" s="6" t="s">
        <v>15</v>
      </c>
      <c r="B29" s="12">
        <v>219888.0</v>
      </c>
      <c r="C29" s="12">
        <v>126435.6</v>
      </c>
      <c r="D29" s="12">
        <v>7.265405115331441</v>
      </c>
      <c r="E29" s="12">
        <v>8.073143600378375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2026-05-05T04:56:29Z</dcterms:created>
  <dc:creator>openpyxl</dc:creator>
</cp:coreProperties>
</file>